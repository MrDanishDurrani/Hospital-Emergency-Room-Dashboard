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LAPZILLA\Desktop\Excel\Hospital Dashboard\"/>
    </mc:Choice>
  </mc:AlternateContent>
  <xr:revisionPtr revIDLastSave="0" documentId="13_ncr:1_{415FC6A4-9E36-4ACC-BDCD-6BBA5CC3E936}" xr6:coauthVersionLast="47" xr6:coauthVersionMax="47" xr10:uidLastSave="{00000000-0000-0000-0000-000000000000}"/>
  <bookViews>
    <workbookView xWindow="-110" yWindow="-110" windowWidth="19420" windowHeight="10420" firstSheet="1" activeTab="1" xr2:uid="{EAA078EE-E2F3-44DC-AE39-742BA584AFDD}"/>
  </bookViews>
  <sheets>
    <sheet name="Pivot Report" sheetId="1" r:id="rId1"/>
    <sheet name="Dashboard" sheetId="2" r:id="rId2"/>
    <sheet name="Daily ER No. of Patients"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459b3db-fa2d-40ca-ada3-b26687e91c79" name="Hospital Emergency Room Data" connection="Query - Hospital Emergency Room Data"/>
          <x15:modelTable id="Calendar_Table_c0c8ea3a-36bd-4aba-876d-e6bff2eea1aa"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9" i="1" l="1"/>
  <c r="C49" i="1"/>
  <c r="B50" i="1"/>
  <c r="C50" i="1"/>
  <c r="A49"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6620FE-F775-46BD-9B94-DDFF3919E18F}" name="Query - Calendar_Table" description="Connection to the 'Calendar_Table' query in the workbook." type="100" refreshedVersion="8" minRefreshableVersion="5">
    <extLst>
      <ext xmlns:x15="http://schemas.microsoft.com/office/spreadsheetml/2010/11/main" uri="{DE250136-89BD-433C-8126-D09CA5730AF9}">
        <x15:connection id="dfb27c40-dc0b-45ad-9785-43be3c6a6862"/>
      </ext>
    </extLst>
  </connection>
  <connection id="2" xr16:uid="{4FC23F3E-FC0E-4933-8F8B-3859E445B0A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c984440-42d1-4a98-8289-857879880f83"/>
      </ext>
    </extLst>
  </connection>
  <connection id="3" xr16:uid="{59BE58FB-1F96-498B-B798-3C7A6EBD6F5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<sst xmlns="http://schemas.openxmlformats.org/spreadsheetml/2006/main" count="150" uniqueCount="77">
  <si>
    <t>Distinct Count of Patient Id</t>
  </si>
  <si>
    <t>No. of Patients</t>
  </si>
  <si>
    <t>Average of Patient Waittime</t>
  </si>
  <si>
    <t>Average of Patient Satisfaction Score</t>
  </si>
  <si>
    <t>Row Labels</t>
  </si>
  <si>
    <t>Grand Total</t>
  </si>
  <si>
    <t>Showing a daily trend with an area sparkline to spot patterns like busy days or seasonal trends</t>
  </si>
  <si>
    <t>Daily trends of no. of patients</t>
  </si>
  <si>
    <t>avg wait time</t>
  </si>
  <si>
    <t>Use an area chart to track daily changes and highlight days with longer wait times that might need improvements</t>
  </si>
  <si>
    <t>Satisfaction Score Daily trend</t>
  </si>
  <si>
    <t>Use an area chart to show trends, spot drops in satisfaction, and link them to busy times or challenges.</t>
  </si>
  <si>
    <t>Admitted</t>
  </si>
  <si>
    <t>Not Admitted</t>
  </si>
  <si>
    <t>Count of Patient Admission Flag</t>
  </si>
  <si>
    <t>Count of Patient Admission Flag2</t>
  </si>
  <si>
    <t>Admission Status</t>
  </si>
  <si>
    <t>No. of Patient</t>
  </si>
  <si>
    <t>% Status</t>
  </si>
  <si>
    <t>Admitted and not Admitted</t>
  </si>
  <si>
    <t>Age Group</t>
  </si>
  <si>
    <t>0-09</t>
  </si>
  <si>
    <t>10-19</t>
  </si>
  <si>
    <t>20-29</t>
  </si>
  <si>
    <t>30-39</t>
  </si>
  <si>
    <t>40-49</t>
  </si>
  <si>
    <t>50-59</t>
  </si>
  <si>
    <t>60-69</t>
  </si>
  <si>
    <t>70-79</t>
  </si>
  <si>
    <t>Count of Age Group</t>
  </si>
  <si>
    <t>Delay</t>
  </si>
  <si>
    <t>Ontime</t>
  </si>
  <si>
    <t>Count of Patient Attend Status</t>
  </si>
  <si>
    <t>Patient Attend Status</t>
  </si>
  <si>
    <t>Female</t>
  </si>
  <si>
    <t>Male</t>
  </si>
  <si>
    <t>Count of Patient Gender</t>
  </si>
  <si>
    <t>Gender</t>
  </si>
  <si>
    <t>Cardiology</t>
  </si>
  <si>
    <t>Gastroenterology</t>
  </si>
  <si>
    <t>General Practice</t>
  </si>
  <si>
    <t>Neurology</t>
  </si>
  <si>
    <t>None</t>
  </si>
  <si>
    <t>Orthopedics</t>
  </si>
  <si>
    <t>Physiotherapy</t>
  </si>
  <si>
    <t>Count of Department Referral</t>
  </si>
  <si>
    <t>Department Referal</t>
  </si>
  <si>
    <t>2023</t>
  </si>
  <si>
    <t>Year slicer</t>
  </si>
  <si>
    <t>Renal</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</si>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</sst>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0.249977111117893"/>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 fontId="0" fillId="0" borderId="0" xfId="0" applyNumberFormat="1"/>
    <xf numFmtId="9" fontId="0" fillId="0" borderId="0" xfId="0" applyNumberFormat="1"/>
    <xf numFmtId="9" fontId="0" fillId="0" borderId="0" xfId="1" applyFont="1"/>
    <xf numFmtId="0" fontId="0" fillId="4" borderId="0" xfId="0" applyFill="1"/>
    <xf numFmtId="0" fontId="0" fillId="5" borderId="0" xfId="0" applyFill="1"/>
    <xf numFmtId="0" fontId="0" fillId="5" borderId="0" xfId="0" applyFill="1" applyAlignment="1">
      <alignment horizontal="center" vertical="center"/>
    </xf>
    <xf numFmtId="0" fontId="0" fillId="4" borderId="0" xfId="0" applyFill="1" applyAlignment="1">
      <alignment horizontal="center" vertical="center"/>
    </xf>
    <xf numFmtId="9" fontId="0" fillId="4" borderId="0" xfId="1" applyFont="1" applyFill="1" applyAlignment="1">
      <alignment horizontal="center" vertical="center"/>
    </xf>
    <xf numFmtId="0" fontId="2" fillId="2" borderId="0" xfId="0" applyFont="1" applyFill="1" applyAlignment="1">
      <alignment vertical="center"/>
    </xf>
    <xf numFmtId="0" fontId="0" fillId="3" borderId="0" xfId="0" applyFill="1" applyAlignment="1">
      <alignment horizontal="right" vertical="center" indent="17"/>
    </xf>
  </cellXfs>
  <cellStyles count="2">
    <cellStyle name="Normal" xfId="0" builtinId="0"/>
    <cellStyle name="Percent" xfId="1" builtinId="5"/>
  </cellStyles>
  <dxfs count="15">
    <dxf>
      <numFmt numFmtId="1" formatCode="0"/>
    </dxf>
    <dxf>
      <numFmt numFmtId="1" formatCode="0"/>
    </dxf>
    <dxf>
      <numFmt numFmtId="164" formatCode="0.0"/>
    </dxf>
    <dxf>
      <numFmt numFmtId="2" formatCode="0.00"/>
    </dxf>
    <dxf>
      <numFmt numFmtId="13" formatCode="0%"/>
    </dxf>
    <dxf>
      <numFmt numFmtId="1" formatCode="0"/>
    </dxf>
    <dxf>
      <numFmt numFmtId="1" formatCode="0"/>
    </dxf>
    <dxf>
      <numFmt numFmtId="1" formatCode="0"/>
    </dxf>
    <dxf>
      <numFmt numFmtId="164" formatCode="0.0"/>
    </dxf>
    <dxf>
      <numFmt numFmtId="2" formatCode="0.00"/>
    </dxf>
    <dxf>
      <numFmt numFmtId="1" formatCode="0"/>
    </dxf>
    <dxf>
      <font>
        <b/>
        <color theme="1"/>
      </font>
      <border>
        <bottom style="thin">
          <color theme="4"/>
        </bottom>
        <vertical/>
        <horizontal/>
      </border>
    </dxf>
    <dxf>
      <font>
        <sz val="5.5"/>
        <color theme="1"/>
      </font>
      <fill>
        <patternFill>
          <bgColor theme="0"/>
        </patternFill>
      </fill>
      <border diagonalUp="0" diagonalDown="0">
        <left/>
        <right/>
        <top/>
        <bottom/>
        <vertical/>
        <horizontal/>
      </border>
    </dxf>
    <dxf>
      <font>
        <b/>
        <color theme="1"/>
      </font>
      <border>
        <bottom style="thin">
          <color theme="4"/>
        </bottom>
        <vertical/>
        <horizontal/>
      </border>
    </dxf>
    <dxf>
      <font>
        <sz val="7"/>
        <color theme="1"/>
      </font>
      <fill>
        <patternFill>
          <bgColor theme="0"/>
        </patternFill>
      </fill>
      <border diagonalUp="0" diagonalDown="0">
        <left/>
        <right/>
        <top/>
        <bottom/>
        <vertical/>
        <horizontal/>
      </border>
    </dxf>
  </dxfs>
  <tableStyles count="2" defaultTableStyle="TableStyleMedium2" defaultPivotStyle="PivotStyleLight16">
    <tableStyle name="My Style" pivot="0" table="0" count="10" xr9:uid="{64355D4C-B496-4E4D-8969-18514F6AF68E}">
      <tableStyleElement type="wholeTable" dxfId="14"/>
      <tableStyleElement type="headerRow" dxfId="13"/>
    </tableStyle>
    <tableStyle name="My Style 2" pivot="0" table="0" count="10" xr9:uid="{CA0CCBDF-C399-4A68-90FD-61F15BB8A0C2}">
      <tableStyleElement type="wholeTable" dxfId="12"/>
      <tableStyleElement type="headerRow" dxfId="1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spcCol="73152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spcCol="731520" anchor="ctr" anchorCtr="1">
                <a:spAutoFit/>
              </a:bodyPr>
              <a:lstStyle/>
              <a:p>
                <a:pPr>
                  <a:defRPr sz="800" b="1" i="0" u="none" strike="noStrike" kern="1200" baseline="0">
                    <a:solidFill>
                      <a:schemeClr val="tx1">
                        <a:lumMod val="75000"/>
                        <a:lumOff val="25000"/>
                      </a:schemeClr>
                    </a:solidFill>
                    <a:latin typeface="+mn-lt"/>
                    <a:ea typeface="+mn-ea"/>
                    <a:cs typeface="+mn-cs"/>
                  </a:defRPr>
                </a:pPr>
                <a:fld id="{64E85444-EB28-4CDE-A2D5-44DAA30E47CD}" type="CELLRANGE">
                  <a:rPr lang="en-US"/>
                  <a:pPr>
                    <a:defRPr sz="8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spcCol="731520" anchor="ctr" anchorCtr="1">
                <a:spAutoFit/>
              </a:bodyPr>
              <a:lstStyle/>
              <a:p>
                <a:pPr>
                  <a:defRPr sz="800" b="1" i="0" u="none" strike="noStrike" kern="1200" baseline="0">
                    <a:solidFill>
                      <a:schemeClr val="tx1">
                        <a:lumMod val="75000"/>
                        <a:lumOff val="25000"/>
                      </a:schemeClr>
                    </a:solidFill>
                    <a:latin typeface="+mn-lt"/>
                    <a:ea typeface="+mn-ea"/>
                    <a:cs typeface="+mn-cs"/>
                  </a:defRPr>
                </a:pPr>
                <a:fld id="{E020A21C-D1B4-455A-807E-E566E1460C01}" type="CELLRANGE">
                  <a:rPr lang="en-US"/>
                  <a:pPr>
                    <a:defRPr sz="8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2.3622047244094488E-2"/>
          <c:y val="5.7441819772528449E-2"/>
          <c:w val="0.952755905511811"/>
          <c:h val="0.90482239720034996"/>
        </c:manualLayout>
      </c:layout>
      <c:barChart>
        <c:barDir val="bar"/>
        <c:grouping val="clustered"/>
        <c:varyColors val="0"/>
        <c:ser>
          <c:idx val="0"/>
          <c:order val="0"/>
          <c:tx>
            <c:strRef>
              <c:f>'Pivot Report'!$C$42:$C$43</c:f>
              <c:strCache>
                <c:ptCount val="1"/>
                <c:pt idx="0">
                  <c:v>Count of Patient Admission Flag</c:v>
                </c:pt>
              </c:strCache>
            </c:strRef>
          </c:tx>
          <c:spPr>
            <a:solidFill>
              <a:schemeClr val="accent1"/>
            </a:solidFill>
            <a:ln>
              <a:noFill/>
            </a:ln>
            <a:effectLst/>
          </c:spPr>
          <c:invertIfNegative val="0"/>
          <c:dLbls>
            <c:dLbl>
              <c:idx val="0"/>
              <c:tx>
                <c:rich>
                  <a:bodyPr/>
                  <a:lstStyle/>
                  <a:p>
                    <a:fld id="{64E85444-EB28-4CDE-A2D5-44DAA30E47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C11-45A8-AFF0-F696FF0D6360}"/>
                </c:ext>
              </c:extLst>
            </c:dLbl>
            <c:dLbl>
              <c:idx val="1"/>
              <c:tx>
                <c:rich>
                  <a:bodyPr/>
                  <a:lstStyle/>
                  <a:p>
                    <a:fld id="{E020A21C-D1B4-455A-807E-E566E1460C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C11-45A8-AFF0-F696FF0D6360}"/>
                </c:ext>
              </c:extLst>
            </c:dLbl>
            <c:spPr>
              <a:noFill/>
              <a:ln>
                <a:noFill/>
              </a:ln>
              <a:effectLst/>
            </c:spPr>
            <c:txPr>
              <a:bodyPr rot="0" spcFirstLastPara="1" vertOverflow="ellipsis" vert="horz" wrap="none" lIns="38100" tIns="19050" rIns="38100" bIns="19050" spcCol="73152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Report'!$C$42:$C$43</c:f>
              <c:strCache>
                <c:ptCount val="2"/>
                <c:pt idx="0">
                  <c:v>Admitted</c:v>
                </c:pt>
                <c:pt idx="1">
                  <c:v>Not Admitted</c:v>
                </c:pt>
              </c:strCache>
            </c:strRef>
          </c:cat>
          <c:val>
            <c:numRef>
              <c:f>'Pivot Report'!$C$42:$C$43</c:f>
              <c:numCache>
                <c:formatCode>0</c:formatCode>
                <c:ptCount val="2"/>
                <c:pt idx="0">
                  <c:v>234</c:v>
                </c:pt>
                <c:pt idx="1">
                  <c:v>205</c:v>
                </c:pt>
              </c:numCache>
            </c:numRef>
          </c:val>
          <c:extLst>
            <c:ext xmlns:c15="http://schemas.microsoft.com/office/drawing/2012/chart" uri="{02D57815-91ED-43cb-92C2-25804820EDAC}">
              <c15:datalabelsRange>
                <c15:f>'Pivot Report'!$C$42:$C$43</c15:f>
                <c15:dlblRangeCache>
                  <c:ptCount val="2"/>
                  <c:pt idx="0">
                    <c:v>53%</c:v>
                  </c:pt>
                  <c:pt idx="1">
                    <c:v>47%</c:v>
                  </c:pt>
                </c15:dlblRangeCache>
              </c15:datalabelsRange>
            </c:ext>
            <c:ext xmlns:c16="http://schemas.microsoft.com/office/drawing/2014/chart" uri="{C3380CC4-5D6E-409C-BE32-E72D297353CC}">
              <c16:uniqueId val="{00000000-4C11-45A8-AFF0-F696FF0D6360}"/>
            </c:ext>
          </c:extLst>
        </c:ser>
        <c:ser>
          <c:idx val="1"/>
          <c:order val="1"/>
          <c:tx>
            <c:strRef>
              <c:f>'Pivot Report'!$C$42:$C$43</c:f>
              <c:strCache>
                <c:ptCount val="1"/>
                <c:pt idx="0">
                  <c:v>Count of Patient Admission Flag2</c:v>
                </c:pt>
              </c:strCache>
            </c:strRef>
          </c:tx>
          <c:spPr>
            <a:solidFill>
              <a:schemeClr val="accent2"/>
            </a:solidFill>
            <a:ln>
              <a:noFill/>
            </a:ln>
            <a:effectLst/>
          </c:spPr>
          <c:invertIfNegative val="0"/>
          <c:cat>
            <c:strRef>
              <c:f>'Pivot Report'!$C$42:$C$43</c:f>
              <c:strCache>
                <c:ptCount val="2"/>
                <c:pt idx="0">
                  <c:v>Admitted</c:v>
                </c:pt>
                <c:pt idx="1">
                  <c:v>Not Admitted</c:v>
                </c:pt>
              </c:strCache>
            </c:strRef>
          </c:cat>
          <c:val>
            <c:numRef>
              <c:f>'Pivot Report'!$C$42:$C$43</c:f>
              <c:numCache>
                <c:formatCode>0%</c:formatCode>
                <c:ptCount val="2"/>
                <c:pt idx="0">
                  <c:v>0.53302961275626426</c:v>
                </c:pt>
                <c:pt idx="1">
                  <c:v>0.46697038724373574</c:v>
                </c:pt>
              </c:numCache>
            </c:numRef>
          </c:val>
          <c:extLst>
            <c:ext xmlns:c16="http://schemas.microsoft.com/office/drawing/2014/chart" uri="{C3380CC4-5D6E-409C-BE32-E72D297353CC}">
              <c16:uniqueId val="{00000001-4C11-45A8-AFF0-F696FF0D6360}"/>
            </c:ext>
          </c:extLst>
        </c:ser>
        <c:dLbls>
          <c:showLegendKey val="0"/>
          <c:showVal val="0"/>
          <c:showCatName val="0"/>
          <c:showSerName val="0"/>
          <c:showPercent val="0"/>
          <c:showBubbleSize val="0"/>
        </c:dLbls>
        <c:gapWidth val="0"/>
        <c:axId val="351864256"/>
        <c:axId val="378653856"/>
      </c:barChart>
      <c:catAx>
        <c:axId val="351864256"/>
        <c:scaling>
          <c:orientation val="minMax"/>
        </c:scaling>
        <c:delete val="1"/>
        <c:axPos val="l"/>
        <c:numFmt formatCode="General" sourceLinked="1"/>
        <c:majorTickMark val="none"/>
        <c:minorTickMark val="none"/>
        <c:tickLblPos val="nextTo"/>
        <c:crossAx val="378653856"/>
        <c:crosses val="autoZero"/>
        <c:auto val="1"/>
        <c:lblAlgn val="ctr"/>
        <c:lblOffset val="100"/>
        <c:noMultiLvlLbl val="0"/>
      </c:catAx>
      <c:valAx>
        <c:axId val="378653856"/>
        <c:scaling>
          <c:orientation val="minMax"/>
        </c:scaling>
        <c:delete val="1"/>
        <c:axPos val="b"/>
        <c:numFmt formatCode="0" sourceLinked="1"/>
        <c:majorTickMark val="none"/>
        <c:minorTickMark val="none"/>
        <c:tickLblPos val="nextTo"/>
        <c:crossAx val="351864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077456820526475"/>
          <c:w val="1"/>
          <c:h val="0.82561815701021668"/>
        </c:manualLayout>
      </c:layout>
      <c:areaChart>
        <c:grouping val="standard"/>
        <c:varyColors val="0"/>
        <c:ser>
          <c:idx val="0"/>
          <c:order val="0"/>
          <c:tx>
            <c:strRef>
              <c:f>'Pivot Report'!$E$5</c:f>
              <c:strCache>
                <c:ptCount val="1"/>
                <c:pt idx="0">
                  <c:v>Total</c:v>
                </c:pt>
              </c:strCache>
            </c:strRef>
          </c:tx>
          <c:spPr>
            <a:solidFill>
              <a:schemeClr val="accent1"/>
            </a:solidFill>
            <a:ln>
              <a:noFill/>
            </a:ln>
            <a:effectLst/>
          </c:spPr>
          <c:cat>
            <c:strRef>
              <c:f>'Pivot Report'!$D$6:$D$33</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Report'!$E$6:$E$33</c:f>
              <c:numCache>
                <c:formatCode>General</c:formatCode>
                <c:ptCount val="27"/>
                <c:pt idx="0">
                  <c:v>12</c:v>
                </c:pt>
                <c:pt idx="1">
                  <c:v>20</c:v>
                </c:pt>
                <c:pt idx="2">
                  <c:v>19</c:v>
                </c:pt>
                <c:pt idx="3">
                  <c:v>16</c:v>
                </c:pt>
                <c:pt idx="4">
                  <c:v>12</c:v>
                </c:pt>
                <c:pt idx="5">
                  <c:v>15</c:v>
                </c:pt>
                <c:pt idx="6">
                  <c:v>19</c:v>
                </c:pt>
                <c:pt idx="7">
                  <c:v>17</c:v>
                </c:pt>
                <c:pt idx="8">
                  <c:v>7</c:v>
                </c:pt>
                <c:pt idx="9">
                  <c:v>12</c:v>
                </c:pt>
                <c:pt idx="10">
                  <c:v>13</c:v>
                </c:pt>
                <c:pt idx="11">
                  <c:v>26</c:v>
                </c:pt>
                <c:pt idx="12">
                  <c:v>22</c:v>
                </c:pt>
                <c:pt idx="13">
                  <c:v>16</c:v>
                </c:pt>
                <c:pt idx="14">
                  <c:v>12</c:v>
                </c:pt>
                <c:pt idx="15">
                  <c:v>21</c:v>
                </c:pt>
                <c:pt idx="16">
                  <c:v>12</c:v>
                </c:pt>
                <c:pt idx="17">
                  <c:v>15</c:v>
                </c:pt>
                <c:pt idx="18">
                  <c:v>23</c:v>
                </c:pt>
                <c:pt idx="19">
                  <c:v>15</c:v>
                </c:pt>
                <c:pt idx="20">
                  <c:v>15</c:v>
                </c:pt>
                <c:pt idx="21">
                  <c:v>14</c:v>
                </c:pt>
                <c:pt idx="22">
                  <c:v>19</c:v>
                </c:pt>
                <c:pt idx="23">
                  <c:v>17</c:v>
                </c:pt>
                <c:pt idx="24">
                  <c:v>16</c:v>
                </c:pt>
                <c:pt idx="25">
                  <c:v>15</c:v>
                </c:pt>
                <c:pt idx="26">
                  <c:v>19</c:v>
                </c:pt>
              </c:numCache>
            </c:numRef>
          </c:val>
          <c:extLst>
            <c:ext xmlns:c16="http://schemas.microsoft.com/office/drawing/2014/chart" uri="{C3380CC4-5D6E-409C-BE32-E72D297353CC}">
              <c16:uniqueId val="{00000000-EDDC-4EFB-A238-F6B92E042EF5}"/>
            </c:ext>
          </c:extLst>
        </c:ser>
        <c:dLbls>
          <c:showLegendKey val="0"/>
          <c:showVal val="0"/>
          <c:showCatName val="0"/>
          <c:showSerName val="0"/>
          <c:showPercent val="0"/>
          <c:showBubbleSize val="0"/>
        </c:dLbls>
        <c:axId val="576526464"/>
        <c:axId val="1769403040"/>
      </c:areaChart>
      <c:catAx>
        <c:axId val="576526464"/>
        <c:scaling>
          <c:orientation val="minMax"/>
        </c:scaling>
        <c:delete val="1"/>
        <c:axPos val="b"/>
        <c:numFmt formatCode="General" sourceLinked="1"/>
        <c:majorTickMark val="out"/>
        <c:minorTickMark val="none"/>
        <c:tickLblPos val="nextTo"/>
        <c:crossAx val="1769403040"/>
        <c:crosses val="autoZero"/>
        <c:auto val="1"/>
        <c:lblAlgn val="ctr"/>
        <c:lblOffset val="100"/>
        <c:noMultiLvlLbl val="0"/>
      </c:catAx>
      <c:valAx>
        <c:axId val="1769403040"/>
        <c:scaling>
          <c:orientation val="minMax"/>
        </c:scaling>
        <c:delete val="1"/>
        <c:axPos val="l"/>
        <c:numFmt formatCode="General" sourceLinked="1"/>
        <c:majorTickMark val="none"/>
        <c:minorTickMark val="none"/>
        <c:tickLblPos val="nextTo"/>
        <c:crossAx val="576526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7424071990997E-3"/>
          <c:y val="0.32535207659398063"/>
          <c:w val="0.99813160854893135"/>
          <c:h val="0.67090066863694486"/>
        </c:manualLayout>
      </c:layout>
      <c:areaChart>
        <c:grouping val="standard"/>
        <c:varyColors val="0"/>
        <c:ser>
          <c:idx val="0"/>
          <c:order val="0"/>
          <c:tx>
            <c:strRef>
              <c:f>'Pivot Report'!$I$5</c:f>
              <c:strCache>
                <c:ptCount val="1"/>
                <c:pt idx="0">
                  <c:v>Total</c:v>
                </c:pt>
              </c:strCache>
            </c:strRef>
          </c:tx>
          <c:spPr>
            <a:solidFill>
              <a:schemeClr val="accent1"/>
            </a:solidFill>
            <a:ln>
              <a:noFill/>
            </a:ln>
            <a:effectLst/>
          </c:spPr>
          <c:cat>
            <c:strRef>
              <c:f>'Pivot Report'!$H$6:$H$33</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Report'!$I$6:$I$33</c:f>
              <c:numCache>
                <c:formatCode>0.0</c:formatCode>
                <c:ptCount val="27"/>
                <c:pt idx="0">
                  <c:v>36.416666666666664</c:v>
                </c:pt>
                <c:pt idx="1">
                  <c:v>35.549999999999997</c:v>
                </c:pt>
                <c:pt idx="2">
                  <c:v>37.368421052631582</c:v>
                </c:pt>
                <c:pt idx="3">
                  <c:v>30.9375</c:v>
                </c:pt>
                <c:pt idx="4">
                  <c:v>28.25</c:v>
                </c:pt>
                <c:pt idx="5">
                  <c:v>43.466666666666669</c:v>
                </c:pt>
                <c:pt idx="6">
                  <c:v>36.05263157894737</c:v>
                </c:pt>
                <c:pt idx="7">
                  <c:v>39.764705882352942</c:v>
                </c:pt>
                <c:pt idx="8">
                  <c:v>33.857142857142854</c:v>
                </c:pt>
                <c:pt idx="9">
                  <c:v>32</c:v>
                </c:pt>
                <c:pt idx="10">
                  <c:v>37.615384615384613</c:v>
                </c:pt>
                <c:pt idx="11">
                  <c:v>37.384615384615387</c:v>
                </c:pt>
                <c:pt idx="12">
                  <c:v>33.954545454545453</c:v>
                </c:pt>
                <c:pt idx="13">
                  <c:v>32.5</c:v>
                </c:pt>
                <c:pt idx="14">
                  <c:v>37.25</c:v>
                </c:pt>
                <c:pt idx="15">
                  <c:v>34.047619047619051</c:v>
                </c:pt>
                <c:pt idx="16">
                  <c:v>34.583333333333336</c:v>
                </c:pt>
                <c:pt idx="17">
                  <c:v>31</c:v>
                </c:pt>
                <c:pt idx="18">
                  <c:v>33.347826086956523</c:v>
                </c:pt>
                <c:pt idx="19">
                  <c:v>33.799999999999997</c:v>
                </c:pt>
                <c:pt idx="20">
                  <c:v>32.466666666666669</c:v>
                </c:pt>
                <c:pt idx="21">
                  <c:v>36.642857142857146</c:v>
                </c:pt>
                <c:pt idx="22">
                  <c:v>32.631578947368418</c:v>
                </c:pt>
                <c:pt idx="23">
                  <c:v>32.176470588235297</c:v>
                </c:pt>
                <c:pt idx="24">
                  <c:v>33.5</c:v>
                </c:pt>
                <c:pt idx="25">
                  <c:v>33.200000000000003</c:v>
                </c:pt>
                <c:pt idx="26">
                  <c:v>35.89473684210526</c:v>
                </c:pt>
              </c:numCache>
            </c:numRef>
          </c:val>
          <c:extLst>
            <c:ext xmlns:c16="http://schemas.microsoft.com/office/drawing/2014/chart" uri="{C3380CC4-5D6E-409C-BE32-E72D297353CC}">
              <c16:uniqueId val="{00000000-0A73-4D7C-AB75-BB2411520FC7}"/>
            </c:ext>
          </c:extLst>
        </c:ser>
        <c:dLbls>
          <c:showLegendKey val="0"/>
          <c:showVal val="0"/>
          <c:showCatName val="0"/>
          <c:showSerName val="0"/>
          <c:showPercent val="0"/>
          <c:showBubbleSize val="0"/>
        </c:dLbls>
        <c:axId val="351871216"/>
        <c:axId val="1804189151"/>
      </c:areaChart>
      <c:catAx>
        <c:axId val="351871216"/>
        <c:scaling>
          <c:orientation val="minMax"/>
        </c:scaling>
        <c:delete val="1"/>
        <c:axPos val="b"/>
        <c:numFmt formatCode="General" sourceLinked="1"/>
        <c:majorTickMark val="out"/>
        <c:minorTickMark val="none"/>
        <c:tickLblPos val="nextTo"/>
        <c:crossAx val="1804189151"/>
        <c:crosses val="autoZero"/>
        <c:auto val="1"/>
        <c:lblAlgn val="ctr"/>
        <c:lblOffset val="100"/>
        <c:noMultiLvlLbl val="0"/>
      </c:catAx>
      <c:valAx>
        <c:axId val="1804189151"/>
        <c:scaling>
          <c:orientation val="minMax"/>
        </c:scaling>
        <c:delete val="1"/>
        <c:axPos val="l"/>
        <c:numFmt formatCode="0.0" sourceLinked="1"/>
        <c:majorTickMark val="none"/>
        <c:minorTickMark val="none"/>
        <c:tickLblPos val="nextTo"/>
        <c:crossAx val="3518712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2592592592592587E-3"/>
          <c:w val="0.98611111111111116"/>
          <c:h val="0.97222222222222221"/>
        </c:manualLayout>
      </c:layout>
      <c:areaChart>
        <c:grouping val="standard"/>
        <c:varyColors val="0"/>
        <c:ser>
          <c:idx val="0"/>
          <c:order val="0"/>
          <c:tx>
            <c:strRef>
              <c:f>'Pivot Report'!$M$5</c:f>
              <c:strCache>
                <c:ptCount val="1"/>
                <c:pt idx="0">
                  <c:v>Total</c:v>
                </c:pt>
              </c:strCache>
            </c:strRef>
          </c:tx>
          <c:spPr>
            <a:solidFill>
              <a:schemeClr val="accent1"/>
            </a:solidFill>
            <a:ln>
              <a:noFill/>
            </a:ln>
            <a:effectLst/>
          </c:spPr>
          <c:cat>
            <c:strRef>
              <c:f>'Pivot Report'!$L$6:$L$33</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Report'!$M$6:$M$33</c:f>
              <c:numCache>
                <c:formatCode>0.0</c:formatCode>
                <c:ptCount val="27"/>
                <c:pt idx="0">
                  <c:v>5.25</c:v>
                </c:pt>
                <c:pt idx="1">
                  <c:v>5</c:v>
                </c:pt>
                <c:pt idx="2">
                  <c:v>5.7142857142857144</c:v>
                </c:pt>
                <c:pt idx="3">
                  <c:v>7</c:v>
                </c:pt>
                <c:pt idx="4">
                  <c:v>6.666666666666667</c:v>
                </c:pt>
                <c:pt idx="5">
                  <c:v>1.5</c:v>
                </c:pt>
                <c:pt idx="6">
                  <c:v>5</c:v>
                </c:pt>
                <c:pt idx="7">
                  <c:v>4.5999999999999996</c:v>
                </c:pt>
                <c:pt idx="8">
                  <c:v>6.5</c:v>
                </c:pt>
                <c:pt idx="9">
                  <c:v>5</c:v>
                </c:pt>
                <c:pt idx="10">
                  <c:v>6.5</c:v>
                </c:pt>
                <c:pt idx="11">
                  <c:v>4.1111111111111107</c:v>
                </c:pt>
                <c:pt idx="12">
                  <c:v>6.6</c:v>
                </c:pt>
                <c:pt idx="13">
                  <c:v>5.2</c:v>
                </c:pt>
                <c:pt idx="14">
                  <c:v>5.5</c:v>
                </c:pt>
                <c:pt idx="15">
                  <c:v>3.3333333333333335</c:v>
                </c:pt>
                <c:pt idx="16">
                  <c:v>5</c:v>
                </c:pt>
                <c:pt idx="17">
                  <c:v>6.5</c:v>
                </c:pt>
                <c:pt idx="18">
                  <c:v>3</c:v>
                </c:pt>
                <c:pt idx="19">
                  <c:v>5.333333333333333</c:v>
                </c:pt>
                <c:pt idx="20">
                  <c:v>7.333333333333333</c:v>
                </c:pt>
                <c:pt idx="21">
                  <c:v>5.6</c:v>
                </c:pt>
                <c:pt idx="22">
                  <c:v>4.4000000000000004</c:v>
                </c:pt>
                <c:pt idx="23">
                  <c:v>4</c:v>
                </c:pt>
                <c:pt idx="24">
                  <c:v>3</c:v>
                </c:pt>
                <c:pt idx="25">
                  <c:v>5.666666666666667</c:v>
                </c:pt>
                <c:pt idx="26">
                  <c:v>5.8571428571428568</c:v>
                </c:pt>
              </c:numCache>
            </c:numRef>
          </c:val>
          <c:extLst>
            <c:ext xmlns:c16="http://schemas.microsoft.com/office/drawing/2014/chart" uri="{C3380CC4-5D6E-409C-BE32-E72D297353CC}">
              <c16:uniqueId val="{00000000-CE64-449C-B2E1-256D9E27C0C0}"/>
            </c:ext>
          </c:extLst>
        </c:ser>
        <c:dLbls>
          <c:showLegendKey val="0"/>
          <c:showVal val="0"/>
          <c:showCatName val="0"/>
          <c:showSerName val="0"/>
          <c:showPercent val="0"/>
          <c:showBubbleSize val="0"/>
        </c:dLbls>
        <c:axId val="395111744"/>
        <c:axId val="378649536"/>
      </c:areaChart>
      <c:catAx>
        <c:axId val="395111744"/>
        <c:scaling>
          <c:orientation val="minMax"/>
        </c:scaling>
        <c:delete val="1"/>
        <c:axPos val="b"/>
        <c:numFmt formatCode="General" sourceLinked="1"/>
        <c:majorTickMark val="out"/>
        <c:minorTickMark val="none"/>
        <c:tickLblPos val="nextTo"/>
        <c:crossAx val="378649536"/>
        <c:crosses val="autoZero"/>
        <c:auto val="1"/>
        <c:lblAlgn val="ctr"/>
        <c:lblOffset val="100"/>
        <c:noMultiLvlLbl val="0"/>
      </c:catAx>
      <c:valAx>
        <c:axId val="378649536"/>
        <c:scaling>
          <c:orientation val="minMax"/>
        </c:scaling>
        <c:delete val="1"/>
        <c:axPos val="l"/>
        <c:numFmt formatCode="0.0" sourceLinked="1"/>
        <c:majorTickMark val="none"/>
        <c:minorTickMark val="none"/>
        <c:tickLblPos val="nextTo"/>
        <c:crossAx val="395111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25854275463185E-3"/>
          <c:y val="1.3999982362226946E-2"/>
          <c:w val="0.99651741457245369"/>
          <c:h val="0.731224590583193"/>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63</c:v>
                </c:pt>
                <c:pt idx="1">
                  <c:v>52</c:v>
                </c:pt>
                <c:pt idx="2">
                  <c:v>54</c:v>
                </c:pt>
                <c:pt idx="3">
                  <c:v>50</c:v>
                </c:pt>
                <c:pt idx="4">
                  <c:v>54</c:v>
                </c:pt>
                <c:pt idx="5">
                  <c:v>57</c:v>
                </c:pt>
                <c:pt idx="6">
                  <c:v>57</c:v>
                </c:pt>
                <c:pt idx="7">
                  <c:v>52</c:v>
                </c:pt>
              </c:numCache>
            </c:numRef>
          </c:val>
          <c:extLst>
            <c:ext xmlns:c16="http://schemas.microsoft.com/office/drawing/2014/chart" uri="{C3380CC4-5D6E-409C-BE32-E72D297353CC}">
              <c16:uniqueId val="{00000000-F814-4CE6-BC57-19D70C07005B}"/>
            </c:ext>
          </c:extLst>
        </c:ser>
        <c:dLbls>
          <c:showLegendKey val="0"/>
          <c:showVal val="0"/>
          <c:showCatName val="0"/>
          <c:showSerName val="0"/>
          <c:showPercent val="0"/>
          <c:showBubbleSize val="0"/>
        </c:dLbls>
        <c:gapWidth val="219"/>
        <c:overlap val="-27"/>
        <c:axId val="225420816"/>
        <c:axId val="2011298368"/>
      </c:barChart>
      <c:catAx>
        <c:axId val="22542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11298368"/>
        <c:crosses val="autoZero"/>
        <c:auto val="1"/>
        <c:lblAlgn val="ctr"/>
        <c:lblOffset val="100"/>
        <c:noMultiLvlLbl val="0"/>
      </c:catAx>
      <c:valAx>
        <c:axId val="2011298368"/>
        <c:scaling>
          <c:orientation val="minMax"/>
        </c:scaling>
        <c:delete val="1"/>
        <c:axPos val="l"/>
        <c:numFmt formatCode="0" sourceLinked="1"/>
        <c:majorTickMark val="none"/>
        <c:minorTickMark val="none"/>
        <c:tickLblPos val="nextTo"/>
        <c:crossAx val="22542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Report!PivotTable9</c:name>
    <c:fmtId val="1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4583418701395893E-2"/>
          <c:y val="0.19108806373970924"/>
          <c:w val="0.85679544624484449"/>
          <c:h val="0.78177460470021432"/>
        </c:manualLayout>
      </c:layout>
      <c:pieChart>
        <c:varyColors val="1"/>
        <c:ser>
          <c:idx val="0"/>
          <c:order val="0"/>
          <c:tx>
            <c:strRef>
              <c:f>'Pivot Report'!$B$67</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880-4ADA-B0F0-304C96E3685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880-4ADA-B0F0-304C96E3685C}"/>
              </c:ext>
            </c:extLst>
          </c:dPt>
          <c:dLbls>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Report'!$A$68:$A$70</c:f>
              <c:strCache>
                <c:ptCount val="2"/>
                <c:pt idx="0">
                  <c:v>Delay</c:v>
                </c:pt>
                <c:pt idx="1">
                  <c:v>Ontime</c:v>
                </c:pt>
              </c:strCache>
            </c:strRef>
          </c:cat>
          <c:val>
            <c:numRef>
              <c:f>'Pivot Report'!$B$68:$B$70</c:f>
              <c:numCache>
                <c:formatCode>0</c:formatCode>
                <c:ptCount val="2"/>
                <c:pt idx="0">
                  <c:v>248</c:v>
                </c:pt>
                <c:pt idx="1">
                  <c:v>191</c:v>
                </c:pt>
              </c:numCache>
            </c:numRef>
          </c:val>
          <c:extLst>
            <c:ext xmlns:c16="http://schemas.microsoft.com/office/drawing/2014/chart" uri="{C3380CC4-5D6E-409C-BE32-E72D297353CC}">
              <c16:uniqueId val="{00000004-9880-4ADA-B0F0-304C96E3685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2.538981339147556E-3"/>
          <c:w val="0.91600228044076648"/>
          <c:h val="0.1260023517004370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Report!PivotTable10</c:name>
    <c:fmtId val="2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25088308737892"/>
          <c:y val="0.22199291079166614"/>
          <c:w val="0.80507254017628194"/>
          <c:h val="0.76357410654723279"/>
        </c:manualLayout>
      </c:layout>
      <c:pieChart>
        <c:varyColors val="1"/>
        <c:ser>
          <c:idx val="0"/>
          <c:order val="0"/>
          <c:tx>
            <c:strRef>
              <c:f>'Pivot Report'!$B$74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93-43EC-95FA-B6E0CD4125D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93-43EC-95FA-B6E0CD4125DC}"/>
              </c:ext>
            </c:extLst>
          </c:dPt>
          <c:dLbls>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Report'!$A$75:$A$77</c:f>
              <c:strCache>
                <c:ptCount val="2"/>
                <c:pt idx="0">
                  <c:v>Female</c:v>
                </c:pt>
                <c:pt idx="1">
                  <c:v>Male</c:v>
                </c:pt>
              </c:strCache>
            </c:strRef>
          </c:cat>
          <c:val>
            <c:numRef>
              <c:f>'Pivot Report'!$B$75:$B$77</c:f>
              <c:numCache>
                <c:formatCode>0</c:formatCode>
                <c:ptCount val="2"/>
                <c:pt idx="0">
                  <c:v>217</c:v>
                </c:pt>
                <c:pt idx="1">
                  <c:v>222</c:v>
                </c:pt>
              </c:numCache>
            </c:numRef>
          </c:val>
          <c:extLst>
            <c:ext xmlns:c16="http://schemas.microsoft.com/office/drawing/2014/chart" uri="{C3380CC4-5D6E-409C-BE32-E72D297353CC}">
              <c16:uniqueId val="{00000004-5093-43EC-95FA-B6E0CD4125D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2251932727194299E-2"/>
          <c:y val="1.6153993883972758E-2"/>
          <c:w val="0.86001087982822333"/>
          <c:h val="0.1211646928625036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Report!PivotTable11</c:name>
    <c:fmtId val="2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layout>
            <c:manualLayout>
              <c:x val="0"/>
              <c:y val="0"/>
            </c:manualLayout>
          </c:layout>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5756070646416294"/>
          <c:y val="1.3122142621876384E-2"/>
          <c:w val="0.58500318272936846"/>
          <c:h val="0.92169205556182843"/>
        </c:manualLayout>
      </c:layout>
      <c:barChart>
        <c:barDir val="bar"/>
        <c:grouping val="clustered"/>
        <c:varyColors val="0"/>
        <c:ser>
          <c:idx val="0"/>
          <c:order val="0"/>
          <c:tx>
            <c:strRef>
              <c:f>'Pivot Report'!$B$80</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0-5B95-443E-A9AB-0EB8AF413CE6}"/>
              </c:ext>
            </c:extLst>
          </c:dPt>
          <c:dLbls>
            <c:dLbl>
              <c:idx val="7"/>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95-443E-A9AB-0EB8AF413CE6}"/>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Report'!$A$81:$A$89</c:f>
              <c:strCache>
                <c:ptCount val="8"/>
                <c:pt idx="0">
                  <c:v>Neurology</c:v>
                </c:pt>
                <c:pt idx="1">
                  <c:v>Renal</c:v>
                </c:pt>
                <c:pt idx="2">
                  <c:v>Gastroenterology</c:v>
                </c:pt>
                <c:pt idx="3">
                  <c:v>Cardiology</c:v>
                </c:pt>
                <c:pt idx="4">
                  <c:v>Physiotherapy</c:v>
                </c:pt>
                <c:pt idx="5">
                  <c:v>Orthopedics</c:v>
                </c:pt>
                <c:pt idx="6">
                  <c:v>General Practice</c:v>
                </c:pt>
                <c:pt idx="7">
                  <c:v>None</c:v>
                </c:pt>
              </c:strCache>
            </c:strRef>
          </c:cat>
          <c:val>
            <c:numRef>
              <c:f>'Pivot Report'!$B$81:$B$89</c:f>
              <c:numCache>
                <c:formatCode>0</c:formatCode>
                <c:ptCount val="8"/>
                <c:pt idx="0">
                  <c:v>3</c:v>
                </c:pt>
                <c:pt idx="1">
                  <c:v>4</c:v>
                </c:pt>
                <c:pt idx="2">
                  <c:v>11</c:v>
                </c:pt>
                <c:pt idx="3">
                  <c:v>14</c:v>
                </c:pt>
                <c:pt idx="4">
                  <c:v>17</c:v>
                </c:pt>
                <c:pt idx="5">
                  <c:v>53</c:v>
                </c:pt>
                <c:pt idx="6">
                  <c:v>99</c:v>
                </c:pt>
                <c:pt idx="7">
                  <c:v>238</c:v>
                </c:pt>
              </c:numCache>
            </c:numRef>
          </c:val>
          <c:extLst>
            <c:ext xmlns:c16="http://schemas.microsoft.com/office/drawing/2014/chart" uri="{C3380CC4-5D6E-409C-BE32-E72D297353CC}">
              <c16:uniqueId val="{00000000-F2E3-489D-A620-BF83D7ADF031}"/>
            </c:ext>
          </c:extLst>
        </c:ser>
        <c:dLbls>
          <c:showLegendKey val="0"/>
          <c:showVal val="0"/>
          <c:showCatName val="0"/>
          <c:showSerName val="0"/>
          <c:showPercent val="0"/>
          <c:showBubbleSize val="0"/>
        </c:dLbls>
        <c:gapWidth val="131"/>
        <c:axId val="191388704"/>
        <c:axId val="751569760"/>
      </c:barChart>
      <c:catAx>
        <c:axId val="19138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751569760"/>
        <c:crosses val="autoZero"/>
        <c:auto val="1"/>
        <c:lblAlgn val="ctr"/>
        <c:lblOffset val="100"/>
        <c:noMultiLvlLbl val="0"/>
      </c:catAx>
      <c:valAx>
        <c:axId val="751569760"/>
        <c:scaling>
          <c:orientation val="minMax"/>
        </c:scaling>
        <c:delete val="1"/>
        <c:axPos val="b"/>
        <c:numFmt formatCode="0" sourceLinked="1"/>
        <c:majorTickMark val="none"/>
        <c:minorTickMark val="none"/>
        <c:tickLblPos val="nextTo"/>
        <c:crossAx val="19138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8433654567766E-2"/>
          <c:y val="5.7291666666666664E-2"/>
          <c:w val="0.93616163921538798"/>
          <c:h val="0.73568733595800528"/>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Report'!$D$6:$D$33</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Report'!$E$6:$E$33</c:f>
              <c:numCache>
                <c:formatCode>General</c:formatCode>
                <c:ptCount val="27"/>
                <c:pt idx="0">
                  <c:v>12</c:v>
                </c:pt>
                <c:pt idx="1">
                  <c:v>20</c:v>
                </c:pt>
                <c:pt idx="2">
                  <c:v>19</c:v>
                </c:pt>
                <c:pt idx="3">
                  <c:v>16</c:v>
                </c:pt>
                <c:pt idx="4">
                  <c:v>12</c:v>
                </c:pt>
                <c:pt idx="5">
                  <c:v>15</c:v>
                </c:pt>
                <c:pt idx="6">
                  <c:v>19</c:v>
                </c:pt>
                <c:pt idx="7">
                  <c:v>17</c:v>
                </c:pt>
                <c:pt idx="8">
                  <c:v>7</c:v>
                </c:pt>
                <c:pt idx="9">
                  <c:v>12</c:v>
                </c:pt>
                <c:pt idx="10">
                  <c:v>13</c:v>
                </c:pt>
                <c:pt idx="11">
                  <c:v>26</c:v>
                </c:pt>
                <c:pt idx="12">
                  <c:v>22</c:v>
                </c:pt>
                <c:pt idx="13">
                  <c:v>16</c:v>
                </c:pt>
                <c:pt idx="14">
                  <c:v>12</c:v>
                </c:pt>
                <c:pt idx="15">
                  <c:v>21</c:v>
                </c:pt>
                <c:pt idx="16">
                  <c:v>12</c:v>
                </c:pt>
                <c:pt idx="17">
                  <c:v>15</c:v>
                </c:pt>
                <c:pt idx="18">
                  <c:v>23</c:v>
                </c:pt>
                <c:pt idx="19">
                  <c:v>15</c:v>
                </c:pt>
                <c:pt idx="20">
                  <c:v>15</c:v>
                </c:pt>
                <c:pt idx="21">
                  <c:v>14</c:v>
                </c:pt>
                <c:pt idx="22">
                  <c:v>19</c:v>
                </c:pt>
                <c:pt idx="23">
                  <c:v>17</c:v>
                </c:pt>
                <c:pt idx="24">
                  <c:v>16</c:v>
                </c:pt>
                <c:pt idx="25">
                  <c:v>15</c:v>
                </c:pt>
                <c:pt idx="26">
                  <c:v>19</c:v>
                </c:pt>
              </c:numCache>
            </c:numRef>
          </c:val>
          <c:extLst>
            <c:ext xmlns:c16="http://schemas.microsoft.com/office/drawing/2014/chart" uri="{C3380CC4-5D6E-409C-BE32-E72D297353CC}">
              <c16:uniqueId val="{00000000-9398-494E-A421-5A7192A9F4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76526464"/>
        <c:axId val="1769403040"/>
      </c:areaChart>
      <c:catAx>
        <c:axId val="5765264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69403040"/>
        <c:crosses val="autoZero"/>
        <c:auto val="1"/>
        <c:lblAlgn val="ctr"/>
        <c:lblOffset val="100"/>
        <c:noMultiLvlLbl val="0"/>
      </c:catAx>
      <c:valAx>
        <c:axId val="1769403040"/>
        <c:scaling>
          <c:orientation val="minMax"/>
        </c:scaling>
        <c:delete val="1"/>
        <c:axPos val="l"/>
        <c:numFmt formatCode="General" sourceLinked="1"/>
        <c:majorTickMark val="out"/>
        <c:minorTickMark val="none"/>
        <c:tickLblPos val="nextTo"/>
        <c:crossAx val="576526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7424071990997E-3"/>
          <c:y val="0.32535207659398063"/>
          <c:w val="0.99813160854893135"/>
          <c:h val="0.67090066863694486"/>
        </c:manualLayout>
      </c:layout>
      <c:areaChart>
        <c:grouping val="standard"/>
        <c:varyColors val="0"/>
        <c:ser>
          <c:idx val="0"/>
          <c:order val="0"/>
          <c:tx>
            <c:strRef>
              <c:f>'Pivot Report'!$I$5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Report'!$H$6:$H$33</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Report'!$I$6:$I$33</c:f>
              <c:numCache>
                <c:formatCode>0.0</c:formatCode>
                <c:ptCount val="27"/>
                <c:pt idx="0">
                  <c:v>36.416666666666664</c:v>
                </c:pt>
                <c:pt idx="1">
                  <c:v>35.549999999999997</c:v>
                </c:pt>
                <c:pt idx="2">
                  <c:v>37.368421052631582</c:v>
                </c:pt>
                <c:pt idx="3">
                  <c:v>30.9375</c:v>
                </c:pt>
                <c:pt idx="4">
                  <c:v>28.25</c:v>
                </c:pt>
                <c:pt idx="5">
                  <c:v>43.466666666666669</c:v>
                </c:pt>
                <c:pt idx="6">
                  <c:v>36.05263157894737</c:v>
                </c:pt>
                <c:pt idx="7">
                  <c:v>39.764705882352942</c:v>
                </c:pt>
                <c:pt idx="8">
                  <c:v>33.857142857142854</c:v>
                </c:pt>
                <c:pt idx="9">
                  <c:v>32</c:v>
                </c:pt>
                <c:pt idx="10">
                  <c:v>37.615384615384613</c:v>
                </c:pt>
                <c:pt idx="11">
                  <c:v>37.384615384615387</c:v>
                </c:pt>
                <c:pt idx="12">
                  <c:v>33.954545454545453</c:v>
                </c:pt>
                <c:pt idx="13">
                  <c:v>32.5</c:v>
                </c:pt>
                <c:pt idx="14">
                  <c:v>37.25</c:v>
                </c:pt>
                <c:pt idx="15">
                  <c:v>34.047619047619051</c:v>
                </c:pt>
                <c:pt idx="16">
                  <c:v>34.583333333333336</c:v>
                </c:pt>
                <c:pt idx="17">
                  <c:v>31</c:v>
                </c:pt>
                <c:pt idx="18">
                  <c:v>33.347826086956523</c:v>
                </c:pt>
                <c:pt idx="19">
                  <c:v>33.799999999999997</c:v>
                </c:pt>
                <c:pt idx="20">
                  <c:v>32.466666666666669</c:v>
                </c:pt>
                <c:pt idx="21">
                  <c:v>36.642857142857146</c:v>
                </c:pt>
                <c:pt idx="22">
                  <c:v>32.631578947368418</c:v>
                </c:pt>
                <c:pt idx="23">
                  <c:v>32.176470588235297</c:v>
                </c:pt>
                <c:pt idx="24">
                  <c:v>33.5</c:v>
                </c:pt>
                <c:pt idx="25">
                  <c:v>33.200000000000003</c:v>
                </c:pt>
                <c:pt idx="26">
                  <c:v>35.89473684210526</c:v>
                </c:pt>
              </c:numCache>
            </c:numRef>
          </c:val>
          <c:extLst>
            <c:ext xmlns:c16="http://schemas.microsoft.com/office/drawing/2014/chart" uri="{C3380CC4-5D6E-409C-BE32-E72D297353CC}">
              <c16:uniqueId val="{00000000-38D4-4B47-B241-259E2A31160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51871216"/>
        <c:axId val="1804189151"/>
      </c:areaChart>
      <c:catAx>
        <c:axId val="3518712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04189151"/>
        <c:crosses val="autoZero"/>
        <c:auto val="1"/>
        <c:lblAlgn val="ctr"/>
        <c:lblOffset val="100"/>
        <c:noMultiLvlLbl val="0"/>
      </c:catAx>
      <c:valAx>
        <c:axId val="1804189151"/>
        <c:scaling>
          <c:orientation val="minMax"/>
        </c:scaling>
        <c:delete val="1"/>
        <c:axPos val="l"/>
        <c:numFmt formatCode="0.0" sourceLinked="1"/>
        <c:majorTickMark val="out"/>
        <c:minorTickMark val="none"/>
        <c:tickLblPos val="nextTo"/>
        <c:crossAx val="3518712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HER.xlsx]Pivot Report!PivotTable7</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99397105064834E-2"/>
          <c:y val="0.12686567164179105"/>
          <c:w val="0.94008185857955873"/>
          <c:h val="0.74347749441767541"/>
        </c:manualLayout>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Report'!$L$6:$L$33</c:f>
              <c:strCache>
                <c:ptCount val="27"/>
                <c:pt idx="0">
                  <c:v>4-Sep</c:v>
                </c:pt>
                <c:pt idx="1">
                  <c:v>5-Sep</c:v>
                </c:pt>
                <c:pt idx="2">
                  <c:v>6-Sep</c:v>
                </c:pt>
                <c:pt idx="3">
                  <c:v>7-Sep</c:v>
                </c:pt>
                <c:pt idx="4">
                  <c:v>8-Sep</c:v>
                </c:pt>
                <c:pt idx="5">
                  <c:v>9-Sep</c:v>
                </c:pt>
                <c:pt idx="6">
                  <c:v>10-Sep</c:v>
                </c:pt>
                <c:pt idx="7">
                  <c:v>11-Sep</c:v>
                </c:pt>
                <c:pt idx="8">
                  <c:v>12-Sep</c:v>
                </c:pt>
                <c:pt idx="9">
                  <c:v>13-Sep</c:v>
                </c:pt>
                <c:pt idx="10">
                  <c:v>14-Sep</c:v>
                </c:pt>
                <c:pt idx="11">
                  <c:v>15-Sep</c:v>
                </c:pt>
                <c:pt idx="12">
                  <c:v>16-Sep</c:v>
                </c:pt>
                <c:pt idx="13">
                  <c:v>17-Sep</c:v>
                </c:pt>
                <c:pt idx="14">
                  <c:v>18-Sep</c:v>
                </c:pt>
                <c:pt idx="15">
                  <c:v>19-Sep</c:v>
                </c:pt>
                <c:pt idx="16">
                  <c:v>20-Sep</c:v>
                </c:pt>
                <c:pt idx="17">
                  <c:v>21-Sep</c:v>
                </c:pt>
                <c:pt idx="18">
                  <c:v>22-Sep</c:v>
                </c:pt>
                <c:pt idx="19">
                  <c:v>23-Sep</c:v>
                </c:pt>
                <c:pt idx="20">
                  <c:v>24-Sep</c:v>
                </c:pt>
                <c:pt idx="21">
                  <c:v>25-Sep</c:v>
                </c:pt>
                <c:pt idx="22">
                  <c:v>26-Sep</c:v>
                </c:pt>
                <c:pt idx="23">
                  <c:v>27-Sep</c:v>
                </c:pt>
                <c:pt idx="24">
                  <c:v>28-Sep</c:v>
                </c:pt>
                <c:pt idx="25">
                  <c:v>29-Sep</c:v>
                </c:pt>
                <c:pt idx="26">
                  <c:v>30-Sep</c:v>
                </c:pt>
              </c:strCache>
            </c:strRef>
          </c:cat>
          <c:val>
            <c:numRef>
              <c:f>'Pivot Report'!$M$6:$M$33</c:f>
              <c:numCache>
                <c:formatCode>0.0</c:formatCode>
                <c:ptCount val="27"/>
                <c:pt idx="0">
                  <c:v>5.25</c:v>
                </c:pt>
                <c:pt idx="1">
                  <c:v>5</c:v>
                </c:pt>
                <c:pt idx="2">
                  <c:v>5.7142857142857144</c:v>
                </c:pt>
                <c:pt idx="3">
                  <c:v>7</c:v>
                </c:pt>
                <c:pt idx="4">
                  <c:v>6.666666666666667</c:v>
                </c:pt>
                <c:pt idx="5">
                  <c:v>1.5</c:v>
                </c:pt>
                <c:pt idx="6">
                  <c:v>5</c:v>
                </c:pt>
                <c:pt idx="7">
                  <c:v>4.5999999999999996</c:v>
                </c:pt>
                <c:pt idx="8">
                  <c:v>6.5</c:v>
                </c:pt>
                <c:pt idx="9">
                  <c:v>5</c:v>
                </c:pt>
                <c:pt idx="10">
                  <c:v>6.5</c:v>
                </c:pt>
                <c:pt idx="11">
                  <c:v>4.1111111111111107</c:v>
                </c:pt>
                <c:pt idx="12">
                  <c:v>6.6</c:v>
                </c:pt>
                <c:pt idx="13">
                  <c:v>5.2</c:v>
                </c:pt>
                <c:pt idx="14">
                  <c:v>5.5</c:v>
                </c:pt>
                <c:pt idx="15">
                  <c:v>3.3333333333333335</c:v>
                </c:pt>
                <c:pt idx="16">
                  <c:v>5</c:v>
                </c:pt>
                <c:pt idx="17">
                  <c:v>6.5</c:v>
                </c:pt>
                <c:pt idx="18">
                  <c:v>3</c:v>
                </c:pt>
                <c:pt idx="19">
                  <c:v>5.333333333333333</c:v>
                </c:pt>
                <c:pt idx="20">
                  <c:v>7.333333333333333</c:v>
                </c:pt>
                <c:pt idx="21">
                  <c:v>5.6</c:v>
                </c:pt>
                <c:pt idx="22">
                  <c:v>4.4000000000000004</c:v>
                </c:pt>
                <c:pt idx="23">
                  <c:v>4</c:v>
                </c:pt>
                <c:pt idx="24">
                  <c:v>3</c:v>
                </c:pt>
                <c:pt idx="25">
                  <c:v>5.666666666666667</c:v>
                </c:pt>
                <c:pt idx="26">
                  <c:v>5.8571428571428568</c:v>
                </c:pt>
              </c:numCache>
            </c:numRef>
          </c:val>
          <c:extLst>
            <c:ext xmlns:c16="http://schemas.microsoft.com/office/drawing/2014/chart" uri="{C3380CC4-5D6E-409C-BE32-E72D297353CC}">
              <c16:uniqueId val="{00000000-6A39-46BA-A3F7-D226CA43602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95111744"/>
        <c:axId val="378649536"/>
      </c:areaChart>
      <c:catAx>
        <c:axId val="3951117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378649536"/>
        <c:crosses val="autoZero"/>
        <c:auto val="1"/>
        <c:lblAlgn val="ctr"/>
        <c:lblOffset val="100"/>
        <c:noMultiLvlLbl val="0"/>
      </c:catAx>
      <c:valAx>
        <c:axId val="378649536"/>
        <c:scaling>
          <c:orientation val="minMax"/>
        </c:scaling>
        <c:delete val="1"/>
        <c:axPos val="l"/>
        <c:numFmt formatCode="0.0" sourceLinked="1"/>
        <c:majorTickMark val="out"/>
        <c:minorTickMark val="none"/>
        <c:tickLblPos val="nextTo"/>
        <c:crossAx val="395111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38100</xdr:colOff>
      <xdr:row>47</xdr:row>
      <xdr:rowOff>107950</xdr:rowOff>
    </xdr:from>
    <xdr:to>
      <xdr:col>3</xdr:col>
      <xdr:colOff>1797050</xdr:colOff>
      <xdr:row>50</xdr:row>
      <xdr:rowOff>6350</xdr:rowOff>
    </xdr:to>
    <xdr:graphicFrame macro="">
      <xdr:nvGraphicFramePr>
        <xdr:cNvPr id="4" name="Chart 3">
          <a:extLst>
            <a:ext uri="{FF2B5EF4-FFF2-40B4-BE49-F238E27FC236}">
              <a16:creationId xmlns:a16="http://schemas.microsoft.com/office/drawing/2014/main" id="{A85193DB-9544-C26A-4237-820979383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31748</xdr:colOff>
      <xdr:row>0</xdr:row>
      <xdr:rowOff>36283</xdr:rowOff>
    </xdr:from>
    <xdr:to>
      <xdr:col>6</xdr:col>
      <xdr:colOff>27215</xdr:colOff>
      <xdr:row>2</xdr:row>
      <xdr:rowOff>36285</xdr:rowOff>
    </xdr:to>
    <xdr:sp macro="" textlink="">
      <xdr:nvSpPr>
        <xdr:cNvPr id="2" name="Rectangle: Rounded Corners 1">
          <a:extLst>
            <a:ext uri="{FF2B5EF4-FFF2-40B4-BE49-F238E27FC236}">
              <a16:creationId xmlns:a16="http://schemas.microsoft.com/office/drawing/2014/main" id="{E8C1FE28-0795-FB4E-E224-61809FC60D8F}"/>
            </a:ext>
          </a:extLst>
        </xdr:cNvPr>
        <xdr:cNvSpPr/>
      </xdr:nvSpPr>
      <xdr:spPr>
        <a:xfrm>
          <a:off x="31748" y="36283"/>
          <a:ext cx="3642181" cy="371931"/>
        </a:xfrm>
        <a:prstGeom prst="roundRect">
          <a:avLst>
            <a:gd name="adj" fmla="val 132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63498</xdr:colOff>
      <xdr:row>0</xdr:row>
      <xdr:rowOff>36283</xdr:rowOff>
    </xdr:from>
    <xdr:to>
      <xdr:col>7</xdr:col>
      <xdr:colOff>326571</xdr:colOff>
      <xdr:row>2</xdr:row>
      <xdr:rowOff>36285</xdr:rowOff>
    </xdr:to>
    <xdr:sp macro="" textlink="">
      <xdr:nvSpPr>
        <xdr:cNvPr id="3" name="Rectangle: Rounded Corners 2">
          <a:extLst>
            <a:ext uri="{FF2B5EF4-FFF2-40B4-BE49-F238E27FC236}">
              <a16:creationId xmlns:a16="http://schemas.microsoft.com/office/drawing/2014/main" id="{9593764E-EAC1-309F-282C-691622AF7F38}"/>
            </a:ext>
          </a:extLst>
        </xdr:cNvPr>
        <xdr:cNvSpPr/>
      </xdr:nvSpPr>
      <xdr:spPr>
        <a:xfrm>
          <a:off x="3710212" y="36283"/>
          <a:ext cx="870859" cy="371931"/>
        </a:xfrm>
        <a:prstGeom prst="roundRect">
          <a:avLst>
            <a:gd name="adj" fmla="val 132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376460</xdr:colOff>
      <xdr:row>0</xdr:row>
      <xdr:rowOff>36283</xdr:rowOff>
    </xdr:from>
    <xdr:to>
      <xdr:col>9</xdr:col>
      <xdr:colOff>31748</xdr:colOff>
      <xdr:row>6</xdr:row>
      <xdr:rowOff>9071</xdr:rowOff>
    </xdr:to>
    <xdr:sp macro="" textlink="">
      <xdr:nvSpPr>
        <xdr:cNvPr id="4" name="Rectangle: Rounded Corners 3">
          <a:extLst>
            <a:ext uri="{FF2B5EF4-FFF2-40B4-BE49-F238E27FC236}">
              <a16:creationId xmlns:a16="http://schemas.microsoft.com/office/drawing/2014/main" id="{9BA2F9F0-48AB-1050-C904-409F19CF8072}"/>
            </a:ext>
          </a:extLst>
        </xdr:cNvPr>
        <xdr:cNvSpPr/>
      </xdr:nvSpPr>
      <xdr:spPr>
        <a:xfrm>
          <a:off x="4630960" y="36283"/>
          <a:ext cx="870859" cy="1088574"/>
        </a:xfrm>
        <a:prstGeom prst="roundRect">
          <a:avLst>
            <a:gd name="adj" fmla="val 3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77104</xdr:colOff>
      <xdr:row>0</xdr:row>
      <xdr:rowOff>36283</xdr:rowOff>
    </xdr:from>
    <xdr:to>
      <xdr:col>10</xdr:col>
      <xdr:colOff>340177</xdr:colOff>
      <xdr:row>6</xdr:row>
      <xdr:rowOff>9071</xdr:rowOff>
    </xdr:to>
    <xdr:sp macro="" textlink="">
      <xdr:nvSpPr>
        <xdr:cNvPr id="5" name="Rectangle: Rounded Corners 4">
          <a:extLst>
            <a:ext uri="{FF2B5EF4-FFF2-40B4-BE49-F238E27FC236}">
              <a16:creationId xmlns:a16="http://schemas.microsoft.com/office/drawing/2014/main" id="{6CEF84CF-68FD-9E0E-DA6F-99041D2DDE3D}"/>
            </a:ext>
          </a:extLst>
        </xdr:cNvPr>
        <xdr:cNvSpPr/>
      </xdr:nvSpPr>
      <xdr:spPr>
        <a:xfrm>
          <a:off x="5547175" y="36283"/>
          <a:ext cx="870859" cy="1088574"/>
        </a:xfrm>
        <a:prstGeom prst="roundRect">
          <a:avLst>
            <a:gd name="adj" fmla="val 3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31748</xdr:colOff>
      <xdr:row>2</xdr:row>
      <xdr:rowOff>63497</xdr:rowOff>
    </xdr:from>
    <xdr:to>
      <xdr:col>1</xdr:col>
      <xdr:colOff>90714</xdr:colOff>
      <xdr:row>14</xdr:row>
      <xdr:rowOff>99785</xdr:rowOff>
    </xdr:to>
    <xdr:sp macro="" textlink="">
      <xdr:nvSpPr>
        <xdr:cNvPr id="6" name="Rectangle: Rounded Corners 5">
          <a:extLst>
            <a:ext uri="{FF2B5EF4-FFF2-40B4-BE49-F238E27FC236}">
              <a16:creationId xmlns:a16="http://schemas.microsoft.com/office/drawing/2014/main" id="{99EC9FFB-3719-0609-E7A0-0699AE35D53C}"/>
            </a:ext>
          </a:extLst>
        </xdr:cNvPr>
        <xdr:cNvSpPr/>
      </xdr:nvSpPr>
      <xdr:spPr>
        <a:xfrm>
          <a:off x="31748" y="435426"/>
          <a:ext cx="666752" cy="2267859"/>
        </a:xfrm>
        <a:prstGeom prst="roundRect">
          <a:avLst>
            <a:gd name="adj" fmla="val 70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117926</xdr:colOff>
      <xdr:row>2</xdr:row>
      <xdr:rowOff>63497</xdr:rowOff>
    </xdr:from>
    <xdr:to>
      <xdr:col>3</xdr:col>
      <xdr:colOff>142889</xdr:colOff>
      <xdr:row>6</xdr:row>
      <xdr:rowOff>127000</xdr:rowOff>
    </xdr:to>
    <xdr:sp macro="" textlink="">
      <xdr:nvSpPr>
        <xdr:cNvPr id="7" name="Rectangle: Rounded Corners 6">
          <a:extLst>
            <a:ext uri="{FF2B5EF4-FFF2-40B4-BE49-F238E27FC236}">
              <a16:creationId xmlns:a16="http://schemas.microsoft.com/office/drawing/2014/main" id="{5324F786-A1FF-582D-8A3B-6C4609B0F318}"/>
            </a:ext>
          </a:extLst>
        </xdr:cNvPr>
        <xdr:cNvSpPr/>
      </xdr:nvSpPr>
      <xdr:spPr>
        <a:xfrm>
          <a:off x="725712" y="435426"/>
          <a:ext cx="1240534" cy="807360"/>
        </a:xfrm>
        <a:prstGeom prst="roundRect">
          <a:avLst>
            <a:gd name="adj" fmla="val 698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207500</xdr:colOff>
      <xdr:row>2</xdr:row>
      <xdr:rowOff>63497</xdr:rowOff>
    </xdr:from>
    <xdr:to>
      <xdr:col>5</xdr:col>
      <xdr:colOff>232462</xdr:colOff>
      <xdr:row>6</xdr:row>
      <xdr:rowOff>127000</xdr:rowOff>
    </xdr:to>
    <xdr:sp macro="" textlink="">
      <xdr:nvSpPr>
        <xdr:cNvPr id="12" name="Rectangle: Rounded Corners 11">
          <a:extLst>
            <a:ext uri="{FF2B5EF4-FFF2-40B4-BE49-F238E27FC236}">
              <a16:creationId xmlns:a16="http://schemas.microsoft.com/office/drawing/2014/main" id="{F66C9B93-176C-480B-2365-1A0C4A04C139}"/>
            </a:ext>
          </a:extLst>
        </xdr:cNvPr>
        <xdr:cNvSpPr/>
      </xdr:nvSpPr>
      <xdr:spPr>
        <a:xfrm>
          <a:off x="2030857" y="435426"/>
          <a:ext cx="1240534" cy="807360"/>
        </a:xfrm>
        <a:prstGeom prst="roundRect">
          <a:avLst>
            <a:gd name="adj" fmla="val 698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297072</xdr:colOff>
      <xdr:row>2</xdr:row>
      <xdr:rowOff>63497</xdr:rowOff>
    </xdr:from>
    <xdr:to>
      <xdr:col>7</xdr:col>
      <xdr:colOff>322035</xdr:colOff>
      <xdr:row>6</xdr:row>
      <xdr:rowOff>127000</xdr:rowOff>
    </xdr:to>
    <xdr:sp macro="" textlink="">
      <xdr:nvSpPr>
        <xdr:cNvPr id="13" name="Rectangle: Rounded Corners 12">
          <a:extLst>
            <a:ext uri="{FF2B5EF4-FFF2-40B4-BE49-F238E27FC236}">
              <a16:creationId xmlns:a16="http://schemas.microsoft.com/office/drawing/2014/main" id="{77D5AA13-39E1-1192-930F-71DEF72BA991}"/>
            </a:ext>
          </a:extLst>
        </xdr:cNvPr>
        <xdr:cNvSpPr/>
      </xdr:nvSpPr>
      <xdr:spPr>
        <a:xfrm>
          <a:off x="3336001" y="435426"/>
          <a:ext cx="1240534" cy="807360"/>
        </a:xfrm>
        <a:prstGeom prst="roundRect">
          <a:avLst>
            <a:gd name="adj" fmla="val 698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117926</xdr:colOff>
      <xdr:row>9</xdr:row>
      <xdr:rowOff>36285</xdr:rowOff>
    </xdr:from>
    <xdr:to>
      <xdr:col>7</xdr:col>
      <xdr:colOff>349250</xdr:colOff>
      <xdr:row>14</xdr:row>
      <xdr:rowOff>104321</xdr:rowOff>
    </xdr:to>
    <xdr:sp macro="" textlink="">
      <xdr:nvSpPr>
        <xdr:cNvPr id="16" name="Rectangle: Rounded Corners 15">
          <a:extLst>
            <a:ext uri="{FF2B5EF4-FFF2-40B4-BE49-F238E27FC236}">
              <a16:creationId xmlns:a16="http://schemas.microsoft.com/office/drawing/2014/main" id="{7A96E13D-B4CB-2467-C0A7-4B59F21A786F}"/>
            </a:ext>
          </a:extLst>
        </xdr:cNvPr>
        <xdr:cNvSpPr/>
      </xdr:nvSpPr>
      <xdr:spPr>
        <a:xfrm>
          <a:off x="725712" y="1709964"/>
          <a:ext cx="3878038" cy="997857"/>
        </a:xfrm>
        <a:prstGeom prst="roundRect">
          <a:avLst>
            <a:gd name="adj" fmla="val 698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127000</xdr:colOff>
      <xdr:row>6</xdr:row>
      <xdr:rowOff>154214</xdr:rowOff>
    </xdr:from>
    <xdr:to>
      <xdr:col>7</xdr:col>
      <xdr:colOff>331108</xdr:colOff>
      <xdr:row>9</xdr:row>
      <xdr:rowOff>13607</xdr:rowOff>
    </xdr:to>
    <xdr:sp macro="" textlink="">
      <xdr:nvSpPr>
        <xdr:cNvPr id="17" name="Rectangle: Rounded Corners 16">
          <a:extLst>
            <a:ext uri="{FF2B5EF4-FFF2-40B4-BE49-F238E27FC236}">
              <a16:creationId xmlns:a16="http://schemas.microsoft.com/office/drawing/2014/main" id="{33DEE079-E2D9-4754-7D41-5447F31E262C}"/>
            </a:ext>
          </a:extLst>
        </xdr:cNvPr>
        <xdr:cNvSpPr/>
      </xdr:nvSpPr>
      <xdr:spPr>
        <a:xfrm>
          <a:off x="734786" y="1270000"/>
          <a:ext cx="3850822" cy="417286"/>
        </a:xfrm>
        <a:prstGeom prst="roundRect">
          <a:avLst>
            <a:gd name="adj" fmla="val 14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394609</xdr:colOff>
      <xdr:row>6</xdr:row>
      <xdr:rowOff>40819</xdr:rowOff>
    </xdr:from>
    <xdr:to>
      <xdr:col>10</xdr:col>
      <xdr:colOff>340179</xdr:colOff>
      <xdr:row>14</xdr:row>
      <xdr:rowOff>108855</xdr:rowOff>
    </xdr:to>
    <xdr:sp macro="" textlink="">
      <xdr:nvSpPr>
        <xdr:cNvPr id="18" name="Rectangle: Rounded Corners 17">
          <a:extLst>
            <a:ext uri="{FF2B5EF4-FFF2-40B4-BE49-F238E27FC236}">
              <a16:creationId xmlns:a16="http://schemas.microsoft.com/office/drawing/2014/main" id="{B832758C-174B-55E5-F093-F0AB3AB7D574}"/>
            </a:ext>
          </a:extLst>
        </xdr:cNvPr>
        <xdr:cNvSpPr/>
      </xdr:nvSpPr>
      <xdr:spPr>
        <a:xfrm>
          <a:off x="4649109" y="1156605"/>
          <a:ext cx="1768927" cy="1555750"/>
        </a:xfrm>
        <a:prstGeom prst="roundRect">
          <a:avLst>
            <a:gd name="adj" fmla="val 251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322036</xdr:colOff>
      <xdr:row>0</xdr:row>
      <xdr:rowOff>40822</xdr:rowOff>
    </xdr:from>
    <xdr:to>
      <xdr:col>5</xdr:col>
      <xdr:colOff>548822</xdr:colOff>
      <xdr:row>1</xdr:row>
      <xdr:rowOff>45358</xdr:rowOff>
    </xdr:to>
    <xdr:sp macro="" textlink="">
      <xdr:nvSpPr>
        <xdr:cNvPr id="19" name="TextBox 18">
          <a:extLst>
            <a:ext uri="{FF2B5EF4-FFF2-40B4-BE49-F238E27FC236}">
              <a16:creationId xmlns:a16="http://schemas.microsoft.com/office/drawing/2014/main" id="{15432F3E-14BC-4D91-F3AD-1407B9F271E3}"/>
            </a:ext>
          </a:extLst>
        </xdr:cNvPr>
        <xdr:cNvSpPr txBox="1"/>
      </xdr:nvSpPr>
      <xdr:spPr>
        <a:xfrm>
          <a:off x="929822" y="40822"/>
          <a:ext cx="265792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200"/>
            <a:t>Hospital Emergency Room</a:t>
          </a:r>
          <a:r>
            <a:rPr lang="en-US" sz="1100"/>
            <a:t> </a:t>
          </a:r>
          <a:r>
            <a:rPr lang="en-US" sz="1200"/>
            <a:t>Dashboard</a:t>
          </a:r>
        </a:p>
      </xdr:txBody>
    </xdr:sp>
    <xdr:clientData/>
  </xdr:twoCellAnchor>
  <xdr:twoCellAnchor editAs="oneCell">
    <xdr:from>
      <xdr:col>0</xdr:col>
      <xdr:colOff>163286</xdr:colOff>
      <xdr:row>0</xdr:row>
      <xdr:rowOff>0</xdr:rowOff>
    </xdr:from>
    <xdr:to>
      <xdr:col>1</xdr:col>
      <xdr:colOff>412750</xdr:colOff>
      <xdr:row>2</xdr:row>
      <xdr:rowOff>99785</xdr:rowOff>
    </xdr:to>
    <xdr:pic>
      <xdr:nvPicPr>
        <xdr:cNvPr id="21" name="Picture 20">
          <a:extLst>
            <a:ext uri="{FF2B5EF4-FFF2-40B4-BE49-F238E27FC236}">
              <a16:creationId xmlns:a16="http://schemas.microsoft.com/office/drawing/2014/main" id="{28A8428F-2F7E-5AA4-2D12-B4326A74EAD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743" r="-4652"/>
        <a:stretch>
          <a:fillRect/>
        </a:stretch>
      </xdr:blipFill>
      <xdr:spPr>
        <a:xfrm>
          <a:off x="163286" y="0"/>
          <a:ext cx="857250" cy="471714"/>
        </a:xfrm>
        <a:prstGeom prst="rect">
          <a:avLst/>
        </a:prstGeom>
      </xdr:spPr>
    </xdr:pic>
    <xdr:clientData/>
  </xdr:twoCellAnchor>
  <xdr:twoCellAnchor editAs="absolute">
    <xdr:from>
      <xdr:col>2</xdr:col>
      <xdr:colOff>340179</xdr:colOff>
      <xdr:row>1</xdr:row>
      <xdr:rowOff>13609</xdr:rowOff>
    </xdr:from>
    <xdr:to>
      <xdr:col>4</xdr:col>
      <xdr:colOff>131536</xdr:colOff>
      <xdr:row>2</xdr:row>
      <xdr:rowOff>18144</xdr:rowOff>
    </xdr:to>
    <xdr:sp macro="" textlink="">
      <xdr:nvSpPr>
        <xdr:cNvPr id="22" name="TextBox 21">
          <a:extLst>
            <a:ext uri="{FF2B5EF4-FFF2-40B4-BE49-F238E27FC236}">
              <a16:creationId xmlns:a16="http://schemas.microsoft.com/office/drawing/2014/main" id="{480E7B22-9776-9D83-F0FE-8B8066435140}"/>
            </a:ext>
          </a:extLst>
        </xdr:cNvPr>
        <xdr:cNvSpPr txBox="1"/>
      </xdr:nvSpPr>
      <xdr:spPr>
        <a:xfrm>
          <a:off x="1555750" y="199573"/>
          <a:ext cx="100692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200"/>
            <a:t>Monthly</a:t>
          </a:r>
          <a:r>
            <a:rPr lang="en-US" sz="1200" baseline="0"/>
            <a:t> Report</a:t>
          </a:r>
          <a:endParaRPr lang="en-US" sz="1200"/>
        </a:p>
      </xdr:txBody>
    </xdr:sp>
    <xdr:clientData/>
  </xdr:twoCellAnchor>
  <xdr:twoCellAnchor editAs="absolute">
    <xdr:from>
      <xdr:col>1</xdr:col>
      <xdr:colOff>113392</xdr:colOff>
      <xdr:row>3</xdr:row>
      <xdr:rowOff>20866</xdr:rowOff>
    </xdr:from>
    <xdr:to>
      <xdr:col>3</xdr:col>
      <xdr:colOff>145142</xdr:colOff>
      <xdr:row>4</xdr:row>
      <xdr:rowOff>25402</xdr:rowOff>
    </xdr:to>
    <xdr:sp macro="" textlink="'Pivot Report'!A6">
      <xdr:nvSpPr>
        <xdr:cNvPr id="23" name="TextBox 22">
          <a:extLst>
            <a:ext uri="{FF2B5EF4-FFF2-40B4-BE49-F238E27FC236}">
              <a16:creationId xmlns:a16="http://schemas.microsoft.com/office/drawing/2014/main" id="{D28BC53E-5F57-36D0-6DC6-8F03E4A455AD}"/>
            </a:ext>
          </a:extLst>
        </xdr:cNvPr>
        <xdr:cNvSpPr txBox="1"/>
      </xdr:nvSpPr>
      <xdr:spPr>
        <a:xfrm>
          <a:off x="721178" y="578759"/>
          <a:ext cx="124732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2CC019D-CE1C-4F4D-8D4F-4940E91AF514}" type="TxLink">
            <a:rPr lang="en-US" sz="1100" b="0" i="0" u="none" strike="noStrike">
              <a:solidFill>
                <a:schemeClr val="tx1"/>
              </a:solidFill>
              <a:latin typeface="Calibri"/>
              <a:cs typeface="Calibri"/>
            </a:rPr>
            <a:pPr algn="ctr"/>
            <a:t>439</a:t>
          </a:fld>
          <a:endParaRPr lang="en-US" sz="1200">
            <a:solidFill>
              <a:schemeClr val="tx1"/>
            </a:solidFill>
          </a:endParaRPr>
        </a:p>
      </xdr:txBody>
    </xdr:sp>
    <xdr:clientData/>
  </xdr:twoCellAnchor>
  <xdr:twoCellAnchor editAs="absolute">
    <xdr:from>
      <xdr:col>1</xdr:col>
      <xdr:colOff>113392</xdr:colOff>
      <xdr:row>4</xdr:row>
      <xdr:rowOff>70759</xdr:rowOff>
    </xdr:from>
    <xdr:to>
      <xdr:col>3</xdr:col>
      <xdr:colOff>145142</xdr:colOff>
      <xdr:row>5</xdr:row>
      <xdr:rowOff>75295</xdr:rowOff>
    </xdr:to>
    <xdr:sp macro="" textlink="">
      <xdr:nvSpPr>
        <xdr:cNvPr id="34" name="TextBox 33">
          <a:extLst>
            <a:ext uri="{FF2B5EF4-FFF2-40B4-BE49-F238E27FC236}">
              <a16:creationId xmlns:a16="http://schemas.microsoft.com/office/drawing/2014/main" id="{09ACE70B-5C59-F78B-4424-1BFE5FF1F819}"/>
            </a:ext>
          </a:extLst>
        </xdr:cNvPr>
        <xdr:cNvSpPr txBox="1"/>
      </xdr:nvSpPr>
      <xdr:spPr>
        <a:xfrm>
          <a:off x="721178" y="814616"/>
          <a:ext cx="124732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a:t>No.</a:t>
          </a:r>
          <a:r>
            <a:rPr lang="en-US" sz="900" baseline="0"/>
            <a:t> of Patient</a:t>
          </a:r>
        </a:p>
      </xdr:txBody>
    </xdr:sp>
    <xdr:clientData/>
  </xdr:twoCellAnchor>
  <xdr:twoCellAnchor editAs="absolute">
    <xdr:from>
      <xdr:col>3</xdr:col>
      <xdr:colOff>199571</xdr:colOff>
      <xdr:row>3</xdr:row>
      <xdr:rowOff>16330</xdr:rowOff>
    </xdr:from>
    <xdr:to>
      <xdr:col>5</xdr:col>
      <xdr:colOff>231320</xdr:colOff>
      <xdr:row>4</xdr:row>
      <xdr:rowOff>20866</xdr:rowOff>
    </xdr:to>
    <xdr:sp macro="" textlink="'Pivot Report'!A10">
      <xdr:nvSpPr>
        <xdr:cNvPr id="8" name="TextBox 7">
          <a:extLst>
            <a:ext uri="{FF2B5EF4-FFF2-40B4-BE49-F238E27FC236}">
              <a16:creationId xmlns:a16="http://schemas.microsoft.com/office/drawing/2014/main" id="{523C5A68-DAA5-FD2F-230F-BE3D44EAACFA}"/>
            </a:ext>
          </a:extLst>
        </xdr:cNvPr>
        <xdr:cNvSpPr txBox="1"/>
      </xdr:nvSpPr>
      <xdr:spPr>
        <a:xfrm>
          <a:off x="2022928" y="574223"/>
          <a:ext cx="124732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D167B71-CBE2-4E62-9358-02EA40474123}" type="TxLink">
            <a:rPr lang="en-US" sz="1100" b="0" i="0" u="none" strike="noStrike">
              <a:solidFill>
                <a:srgbClr val="000000"/>
              </a:solidFill>
              <a:latin typeface="Calibri"/>
              <a:cs typeface="Calibri"/>
            </a:rPr>
            <a:pPr algn="ctr"/>
            <a:t>34.74</a:t>
          </a:fld>
          <a:endParaRPr lang="en-US" sz="1200"/>
        </a:p>
      </xdr:txBody>
    </xdr:sp>
    <xdr:clientData/>
  </xdr:twoCellAnchor>
  <xdr:twoCellAnchor editAs="absolute">
    <xdr:from>
      <xdr:col>3</xdr:col>
      <xdr:colOff>199571</xdr:colOff>
      <xdr:row>4</xdr:row>
      <xdr:rowOff>70759</xdr:rowOff>
    </xdr:from>
    <xdr:to>
      <xdr:col>5</xdr:col>
      <xdr:colOff>231320</xdr:colOff>
      <xdr:row>5</xdr:row>
      <xdr:rowOff>75295</xdr:rowOff>
    </xdr:to>
    <xdr:sp macro="" textlink="">
      <xdr:nvSpPr>
        <xdr:cNvPr id="9" name="TextBox 8">
          <a:extLst>
            <a:ext uri="{FF2B5EF4-FFF2-40B4-BE49-F238E27FC236}">
              <a16:creationId xmlns:a16="http://schemas.microsoft.com/office/drawing/2014/main" id="{C3FDEBFE-D372-B09A-B134-C8E6DFB1DF97}"/>
            </a:ext>
          </a:extLst>
        </xdr:cNvPr>
        <xdr:cNvSpPr txBox="1"/>
      </xdr:nvSpPr>
      <xdr:spPr>
        <a:xfrm>
          <a:off x="2022928" y="814616"/>
          <a:ext cx="124732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aseline="0"/>
            <a:t>Average Wait Time</a:t>
          </a:r>
        </a:p>
      </xdr:txBody>
    </xdr:sp>
    <xdr:clientData/>
  </xdr:twoCellAnchor>
  <xdr:twoCellAnchor editAs="absolute">
    <xdr:from>
      <xdr:col>5</xdr:col>
      <xdr:colOff>285749</xdr:colOff>
      <xdr:row>3</xdr:row>
      <xdr:rowOff>16330</xdr:rowOff>
    </xdr:from>
    <xdr:to>
      <xdr:col>7</xdr:col>
      <xdr:colOff>317499</xdr:colOff>
      <xdr:row>4</xdr:row>
      <xdr:rowOff>20866</xdr:rowOff>
    </xdr:to>
    <xdr:sp macro="" textlink="'Pivot Report'!A14">
      <xdr:nvSpPr>
        <xdr:cNvPr id="10" name="TextBox 9">
          <a:extLst>
            <a:ext uri="{FF2B5EF4-FFF2-40B4-BE49-F238E27FC236}">
              <a16:creationId xmlns:a16="http://schemas.microsoft.com/office/drawing/2014/main" id="{58AA5145-117B-ECF0-ED91-AD7EECE373AB}"/>
            </a:ext>
          </a:extLst>
        </xdr:cNvPr>
        <xdr:cNvSpPr txBox="1"/>
      </xdr:nvSpPr>
      <xdr:spPr>
        <a:xfrm>
          <a:off x="3324678" y="574223"/>
          <a:ext cx="124732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0039642-86CA-4B89-94FF-7169C0E5718E}" type="TxLink">
            <a:rPr lang="en-US" sz="1100" b="0" i="0" u="none" strike="noStrike">
              <a:solidFill>
                <a:srgbClr val="000000"/>
              </a:solidFill>
              <a:latin typeface="Calibri"/>
              <a:cs typeface="Calibri"/>
            </a:rPr>
            <a:pPr algn="ctr"/>
            <a:t>5.09</a:t>
          </a:fld>
          <a:endParaRPr lang="en-US" sz="1200"/>
        </a:p>
      </xdr:txBody>
    </xdr:sp>
    <xdr:clientData/>
  </xdr:twoCellAnchor>
  <xdr:twoCellAnchor editAs="absolute">
    <xdr:from>
      <xdr:col>5</xdr:col>
      <xdr:colOff>285749</xdr:colOff>
      <xdr:row>4</xdr:row>
      <xdr:rowOff>70759</xdr:rowOff>
    </xdr:from>
    <xdr:to>
      <xdr:col>7</xdr:col>
      <xdr:colOff>317499</xdr:colOff>
      <xdr:row>5</xdr:row>
      <xdr:rowOff>63500</xdr:rowOff>
    </xdr:to>
    <xdr:sp macro="" textlink="">
      <xdr:nvSpPr>
        <xdr:cNvPr id="11" name="TextBox 10">
          <a:extLst>
            <a:ext uri="{FF2B5EF4-FFF2-40B4-BE49-F238E27FC236}">
              <a16:creationId xmlns:a16="http://schemas.microsoft.com/office/drawing/2014/main" id="{918D41D5-FEAF-05C4-D8A9-1A51617010C3}"/>
            </a:ext>
          </a:extLst>
        </xdr:cNvPr>
        <xdr:cNvSpPr txBox="1"/>
      </xdr:nvSpPr>
      <xdr:spPr>
        <a:xfrm>
          <a:off x="3324678" y="814616"/>
          <a:ext cx="1247321" cy="17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900" baseline="0"/>
            <a:t>Patient Satisfaction Score</a:t>
          </a:r>
        </a:p>
      </xdr:txBody>
    </xdr:sp>
    <xdr:clientData/>
  </xdr:twoCellAnchor>
  <xdr:twoCellAnchor editAs="oneCell">
    <xdr:from>
      <xdr:col>2</xdr:col>
      <xdr:colOff>449036</xdr:colOff>
      <xdr:row>2</xdr:row>
      <xdr:rowOff>86177</xdr:rowOff>
    </xdr:from>
    <xdr:to>
      <xdr:col>3</xdr:col>
      <xdr:colOff>145143</xdr:colOff>
      <xdr:row>4</xdr:row>
      <xdr:rowOff>18142</xdr:rowOff>
    </xdr:to>
    <xdr:pic>
      <xdr:nvPicPr>
        <xdr:cNvPr id="15" name="Graphic 14" descr="Male profile">
          <a:extLst>
            <a:ext uri="{FF2B5EF4-FFF2-40B4-BE49-F238E27FC236}">
              <a16:creationId xmlns:a16="http://schemas.microsoft.com/office/drawing/2014/main" id="{FA726461-89C3-AED6-C283-D1A8E834D29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64607" y="458106"/>
          <a:ext cx="303893" cy="303893"/>
        </a:xfrm>
        <a:prstGeom prst="rect">
          <a:avLst/>
        </a:prstGeom>
      </xdr:spPr>
    </xdr:pic>
    <xdr:clientData/>
  </xdr:twoCellAnchor>
  <xdr:twoCellAnchor editAs="oneCell">
    <xdr:from>
      <xdr:col>7</xdr:col>
      <xdr:colOff>4542</xdr:colOff>
      <xdr:row>2</xdr:row>
      <xdr:rowOff>90712</xdr:rowOff>
    </xdr:from>
    <xdr:to>
      <xdr:col>7</xdr:col>
      <xdr:colOff>306294</xdr:colOff>
      <xdr:row>3</xdr:row>
      <xdr:rowOff>129934</xdr:rowOff>
    </xdr:to>
    <xdr:pic>
      <xdr:nvPicPr>
        <xdr:cNvPr id="24" name="Graphic 23" descr="Repeat">
          <a:extLst>
            <a:ext uri="{FF2B5EF4-FFF2-40B4-BE49-F238E27FC236}">
              <a16:creationId xmlns:a16="http://schemas.microsoft.com/office/drawing/2014/main" id="{631AC42F-BF41-5107-E64A-010BA12C36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59042" y="462641"/>
          <a:ext cx="301752" cy="225186"/>
        </a:xfrm>
        <a:prstGeom prst="rect">
          <a:avLst/>
        </a:prstGeom>
      </xdr:spPr>
    </xdr:pic>
    <xdr:clientData/>
  </xdr:twoCellAnchor>
  <xdr:twoCellAnchor editAs="oneCell">
    <xdr:from>
      <xdr:col>4</xdr:col>
      <xdr:colOff>544608</xdr:colOff>
      <xdr:row>2</xdr:row>
      <xdr:rowOff>68357</xdr:rowOff>
    </xdr:from>
    <xdr:to>
      <xdr:col>5</xdr:col>
      <xdr:colOff>240394</xdr:colOff>
      <xdr:row>4</xdr:row>
      <xdr:rowOff>1</xdr:rowOff>
    </xdr:to>
    <xdr:pic>
      <xdr:nvPicPr>
        <xdr:cNvPr id="26" name="Graphic 25" descr="Pause">
          <a:extLst>
            <a:ext uri="{FF2B5EF4-FFF2-40B4-BE49-F238E27FC236}">
              <a16:creationId xmlns:a16="http://schemas.microsoft.com/office/drawing/2014/main" id="{752468C6-F3F1-4178-254C-2830A8D0512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75751" y="440286"/>
          <a:ext cx="303572" cy="303572"/>
        </a:xfrm>
        <a:prstGeom prst="rect">
          <a:avLst/>
        </a:prstGeom>
      </xdr:spPr>
    </xdr:pic>
    <xdr:clientData/>
  </xdr:twoCellAnchor>
  <xdr:twoCellAnchor editAs="oneCell">
    <xdr:from>
      <xdr:col>0</xdr:col>
      <xdr:colOff>45357</xdr:colOff>
      <xdr:row>2</xdr:row>
      <xdr:rowOff>131539</xdr:rowOff>
    </xdr:from>
    <xdr:to>
      <xdr:col>1</xdr:col>
      <xdr:colOff>66221</xdr:colOff>
      <xdr:row>14</xdr:row>
      <xdr:rowOff>3088</xdr:rowOff>
    </xdr:to>
    <mc:AlternateContent xmlns:mc="http://schemas.openxmlformats.org/markup-compatibility/2006" xmlns:a14="http://schemas.microsoft.com/office/drawing/2010/main">
      <mc:Choice Requires="a14">
        <xdr:graphicFrame macro="">
          <xdr:nvGraphicFramePr>
            <xdr:cNvPr id="27" name="Date (Month)">
              <a:extLst>
                <a:ext uri="{FF2B5EF4-FFF2-40B4-BE49-F238E27FC236}">
                  <a16:creationId xmlns:a16="http://schemas.microsoft.com/office/drawing/2014/main" id="{120BE632-DB6D-4B6A-9FA9-34586C5ED0B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5357" y="503468"/>
              <a:ext cx="62865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113392</xdr:colOff>
      <xdr:row>5</xdr:row>
      <xdr:rowOff>63501</xdr:rowOff>
    </xdr:from>
    <xdr:to>
      <xdr:col>3</xdr:col>
      <xdr:colOff>140607</xdr:colOff>
      <xdr:row>6</xdr:row>
      <xdr:rowOff>117928</xdr:rowOff>
    </xdr:to>
    <xdr:graphicFrame macro="">
      <xdr:nvGraphicFramePr>
        <xdr:cNvPr id="28" name="Chart 27">
          <a:hlinkClick xmlns:r="http://schemas.openxmlformats.org/officeDocument/2006/relationships" r:id="rId8"/>
          <a:extLst>
            <a:ext uri="{FF2B5EF4-FFF2-40B4-BE49-F238E27FC236}">
              <a16:creationId xmlns:a16="http://schemas.microsoft.com/office/drawing/2014/main" id="{F8FDBD19-8C4A-4A3F-B7BD-6039BD488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213178</xdr:colOff>
      <xdr:row>5</xdr:row>
      <xdr:rowOff>99789</xdr:rowOff>
    </xdr:from>
    <xdr:to>
      <xdr:col>5</xdr:col>
      <xdr:colOff>222249</xdr:colOff>
      <xdr:row>6</xdr:row>
      <xdr:rowOff>113396</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F3A1C490-783F-42E2-8450-CDCFCEB5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303896</xdr:colOff>
      <xdr:row>5</xdr:row>
      <xdr:rowOff>77108</xdr:rowOff>
    </xdr:from>
    <xdr:to>
      <xdr:col>7</xdr:col>
      <xdr:colOff>331107</xdr:colOff>
      <xdr:row>6</xdr:row>
      <xdr:rowOff>122458</xdr:rowOff>
    </xdr:to>
    <xdr:graphicFrame macro="">
      <xdr:nvGraphicFramePr>
        <xdr:cNvPr id="20" name="Chart 19">
          <a:hlinkClick xmlns:r="http://schemas.openxmlformats.org/officeDocument/2006/relationships" r:id="rId12"/>
          <a:extLst>
            <a:ext uri="{FF2B5EF4-FFF2-40B4-BE49-F238E27FC236}">
              <a16:creationId xmlns:a16="http://schemas.microsoft.com/office/drawing/2014/main" id="{4A82E37C-6C1E-4FF0-8361-F05D53F58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163286</xdr:colOff>
          <xdr:row>6</xdr:row>
          <xdr:rowOff>167822</xdr:rowOff>
        </xdr:from>
        <xdr:to>
          <xdr:col>7</xdr:col>
          <xdr:colOff>299357</xdr:colOff>
          <xdr:row>9</xdr:row>
          <xdr:rowOff>1</xdr:rowOff>
        </xdr:to>
        <xdr:pic>
          <xdr:nvPicPr>
            <xdr:cNvPr id="36" name="Picture 35">
              <a:extLst>
                <a:ext uri="{FF2B5EF4-FFF2-40B4-BE49-F238E27FC236}">
                  <a16:creationId xmlns:a16="http://schemas.microsoft.com/office/drawing/2014/main" id="{C394ADBB-91F1-F247-A88C-1BCBFC4FEAFD}"/>
                </a:ext>
              </a:extLst>
            </xdr:cNvPr>
            <xdr:cNvPicPr>
              <a:picLocks noChangeAspect="1" noChangeArrowheads="1"/>
              <a:extLst>
                <a:ext uri="{84589F7E-364E-4C9E-8A38-B11213B215E9}">
                  <a14:cameraTool cellRange="'Pivot Report'!$A$48:$D$50" spid="_x0000_s1052"/>
                </a:ext>
              </a:extLst>
            </xdr:cNvPicPr>
          </xdr:nvPicPr>
          <xdr:blipFill>
            <a:blip xmlns:r="http://schemas.openxmlformats.org/officeDocument/2006/relationships" r:embed="rId14"/>
            <a:srcRect/>
            <a:stretch>
              <a:fillRect/>
            </a:stretch>
          </xdr:blipFill>
          <xdr:spPr bwMode="auto">
            <a:xfrm>
              <a:off x="771072" y="1283608"/>
              <a:ext cx="3782785" cy="39007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145144</xdr:colOff>
      <xdr:row>9</xdr:row>
      <xdr:rowOff>49892</xdr:rowOff>
    </xdr:from>
    <xdr:to>
      <xdr:col>7</xdr:col>
      <xdr:colOff>317500</xdr:colOff>
      <xdr:row>13</xdr:row>
      <xdr:rowOff>181428</xdr:rowOff>
    </xdr:to>
    <xdr:graphicFrame macro="">
      <xdr:nvGraphicFramePr>
        <xdr:cNvPr id="25" name="Chart 24">
          <a:extLst>
            <a:ext uri="{FF2B5EF4-FFF2-40B4-BE49-F238E27FC236}">
              <a16:creationId xmlns:a16="http://schemas.microsoft.com/office/drawing/2014/main" id="{44D5EC0C-183D-460F-9501-8B33BE6CD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xdr:col>
      <xdr:colOff>22678</xdr:colOff>
      <xdr:row>13</xdr:row>
      <xdr:rowOff>134259</xdr:rowOff>
    </xdr:from>
    <xdr:to>
      <xdr:col>5</xdr:col>
      <xdr:colOff>145143</xdr:colOff>
      <xdr:row>14</xdr:row>
      <xdr:rowOff>72571</xdr:rowOff>
    </xdr:to>
    <xdr:sp macro="" textlink="">
      <xdr:nvSpPr>
        <xdr:cNvPr id="33" name="TextBox 32">
          <a:extLst>
            <a:ext uri="{FF2B5EF4-FFF2-40B4-BE49-F238E27FC236}">
              <a16:creationId xmlns:a16="http://schemas.microsoft.com/office/drawing/2014/main" id="{3DB4DE5F-84CF-1489-0A7F-4DD05C311755}"/>
            </a:ext>
          </a:extLst>
        </xdr:cNvPr>
        <xdr:cNvSpPr txBox="1"/>
      </xdr:nvSpPr>
      <xdr:spPr>
        <a:xfrm>
          <a:off x="1846035" y="2551795"/>
          <a:ext cx="1338037" cy="124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t>No.</a:t>
          </a:r>
          <a:r>
            <a:rPr lang="en-US" sz="800" baseline="0"/>
            <a:t> of Patient by Age Group</a:t>
          </a:r>
        </a:p>
      </xdr:txBody>
    </xdr:sp>
    <xdr:clientData/>
  </xdr:twoCellAnchor>
  <xdr:twoCellAnchor>
    <xdr:from>
      <xdr:col>7</xdr:col>
      <xdr:colOff>358321</xdr:colOff>
      <xdr:row>0</xdr:row>
      <xdr:rowOff>86177</xdr:rowOff>
    </xdr:from>
    <xdr:to>
      <xdr:col>9</xdr:col>
      <xdr:colOff>40822</xdr:colOff>
      <xdr:row>5</xdr:row>
      <xdr:rowOff>13608</xdr:rowOff>
    </xdr:to>
    <xdr:graphicFrame macro="">
      <xdr:nvGraphicFramePr>
        <xdr:cNvPr id="35" name="Chart 34">
          <a:extLst>
            <a:ext uri="{FF2B5EF4-FFF2-40B4-BE49-F238E27FC236}">
              <a16:creationId xmlns:a16="http://schemas.microsoft.com/office/drawing/2014/main" id="{EE858436-B5AC-4153-B009-8A21D6F2D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7</xdr:col>
      <xdr:colOff>385536</xdr:colOff>
      <xdr:row>5</xdr:row>
      <xdr:rowOff>4537</xdr:rowOff>
    </xdr:from>
    <xdr:to>
      <xdr:col>9</xdr:col>
      <xdr:colOff>31750</xdr:colOff>
      <xdr:row>5</xdr:row>
      <xdr:rowOff>167823</xdr:rowOff>
    </xdr:to>
    <xdr:sp macro="" textlink="">
      <xdr:nvSpPr>
        <xdr:cNvPr id="37" name="TextBox 36">
          <a:extLst>
            <a:ext uri="{FF2B5EF4-FFF2-40B4-BE49-F238E27FC236}">
              <a16:creationId xmlns:a16="http://schemas.microsoft.com/office/drawing/2014/main" id="{37BF8BD2-69F2-B964-D316-196A3BC113D9}"/>
            </a:ext>
          </a:extLst>
        </xdr:cNvPr>
        <xdr:cNvSpPr txBox="1"/>
      </xdr:nvSpPr>
      <xdr:spPr>
        <a:xfrm>
          <a:off x="4640036" y="934358"/>
          <a:ext cx="861785" cy="163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700" baseline="0"/>
            <a:t>Patient Attend Status</a:t>
          </a:r>
          <a:endParaRPr lang="en-US" sz="1000" baseline="0"/>
        </a:p>
      </xdr:txBody>
    </xdr:sp>
    <xdr:clientData/>
  </xdr:twoCellAnchor>
  <xdr:twoCellAnchor>
    <xdr:from>
      <xdr:col>9</xdr:col>
      <xdr:colOff>99786</xdr:colOff>
      <xdr:row>0</xdr:row>
      <xdr:rowOff>77107</xdr:rowOff>
    </xdr:from>
    <xdr:to>
      <xdr:col>10</xdr:col>
      <xdr:colOff>326572</xdr:colOff>
      <xdr:row>5</xdr:row>
      <xdr:rowOff>27215</xdr:rowOff>
    </xdr:to>
    <xdr:graphicFrame macro="">
      <xdr:nvGraphicFramePr>
        <xdr:cNvPr id="38" name="Chart 37">
          <a:extLst>
            <a:ext uri="{FF2B5EF4-FFF2-40B4-BE49-F238E27FC236}">
              <a16:creationId xmlns:a16="http://schemas.microsoft.com/office/drawing/2014/main" id="{9079BC3E-8525-4D2E-A5BC-53FF5E0AD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9</xdr:col>
      <xdr:colOff>86178</xdr:colOff>
      <xdr:row>5</xdr:row>
      <xdr:rowOff>9068</xdr:rowOff>
    </xdr:from>
    <xdr:to>
      <xdr:col>10</xdr:col>
      <xdr:colOff>340177</xdr:colOff>
      <xdr:row>5</xdr:row>
      <xdr:rowOff>172354</xdr:rowOff>
    </xdr:to>
    <xdr:sp macro="" textlink="">
      <xdr:nvSpPr>
        <xdr:cNvPr id="39" name="TextBox 38">
          <a:extLst>
            <a:ext uri="{FF2B5EF4-FFF2-40B4-BE49-F238E27FC236}">
              <a16:creationId xmlns:a16="http://schemas.microsoft.com/office/drawing/2014/main" id="{B27BCD36-C381-8CD1-5B51-798B89655FB9}"/>
            </a:ext>
          </a:extLst>
        </xdr:cNvPr>
        <xdr:cNvSpPr txBox="1"/>
      </xdr:nvSpPr>
      <xdr:spPr>
        <a:xfrm>
          <a:off x="5556249" y="938889"/>
          <a:ext cx="861785" cy="163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700" baseline="0"/>
            <a:t>Gender wise Analysis</a:t>
          </a:r>
          <a:endParaRPr lang="en-US" sz="1000" baseline="0"/>
        </a:p>
      </xdr:txBody>
    </xdr:sp>
    <xdr:clientData/>
  </xdr:twoCellAnchor>
  <xdr:twoCellAnchor>
    <xdr:from>
      <xdr:col>7</xdr:col>
      <xdr:colOff>385542</xdr:colOff>
      <xdr:row>6</xdr:row>
      <xdr:rowOff>68038</xdr:rowOff>
    </xdr:from>
    <xdr:to>
      <xdr:col>10</xdr:col>
      <xdr:colOff>331107</xdr:colOff>
      <xdr:row>13</xdr:row>
      <xdr:rowOff>145144</xdr:rowOff>
    </xdr:to>
    <xdr:graphicFrame macro="">
      <xdr:nvGraphicFramePr>
        <xdr:cNvPr id="40" name="Chart 39">
          <a:extLst>
            <a:ext uri="{FF2B5EF4-FFF2-40B4-BE49-F238E27FC236}">
              <a16:creationId xmlns:a16="http://schemas.microsoft.com/office/drawing/2014/main" id="{58EEAC73-79D1-454D-AA5D-36D58ACED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7</xdr:col>
      <xdr:colOff>439963</xdr:colOff>
      <xdr:row>13</xdr:row>
      <xdr:rowOff>138794</xdr:rowOff>
    </xdr:from>
    <xdr:to>
      <xdr:col>10</xdr:col>
      <xdr:colOff>312963</xdr:colOff>
      <xdr:row>14</xdr:row>
      <xdr:rowOff>86178</xdr:rowOff>
    </xdr:to>
    <xdr:sp macro="" textlink="">
      <xdr:nvSpPr>
        <xdr:cNvPr id="41" name="TextBox 40">
          <a:extLst>
            <a:ext uri="{FF2B5EF4-FFF2-40B4-BE49-F238E27FC236}">
              <a16:creationId xmlns:a16="http://schemas.microsoft.com/office/drawing/2014/main" id="{D0803E1C-EDD9-DFAB-CC35-F1C6C1AFCF48}"/>
            </a:ext>
          </a:extLst>
        </xdr:cNvPr>
        <xdr:cNvSpPr txBox="1"/>
      </xdr:nvSpPr>
      <xdr:spPr>
        <a:xfrm>
          <a:off x="4694463" y="2556330"/>
          <a:ext cx="1696357" cy="13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t>No.</a:t>
          </a:r>
          <a:r>
            <a:rPr lang="en-US" sz="800" baseline="0"/>
            <a:t> of Patient by Department Referal</a:t>
          </a:r>
        </a:p>
      </xdr:txBody>
    </xdr:sp>
    <xdr:clientData/>
  </xdr:twoCellAnchor>
  <xdr:twoCellAnchor editAs="oneCell">
    <xdr:from>
      <xdr:col>6</xdr:col>
      <xdr:colOff>77107</xdr:colOff>
      <xdr:row>0</xdr:row>
      <xdr:rowOff>58963</xdr:rowOff>
    </xdr:from>
    <xdr:to>
      <xdr:col>7</xdr:col>
      <xdr:colOff>294821</xdr:colOff>
      <xdr:row>2</xdr:row>
      <xdr:rowOff>18141</xdr:rowOff>
    </xdr:to>
    <mc:AlternateContent xmlns:mc="http://schemas.openxmlformats.org/markup-compatibility/2006" xmlns:a14="http://schemas.microsoft.com/office/drawing/2010/main">
      <mc:Choice Requires="a14">
        <xdr:graphicFrame macro="">
          <xdr:nvGraphicFramePr>
            <xdr:cNvPr id="42" name="Date (Year)">
              <a:extLst>
                <a:ext uri="{FF2B5EF4-FFF2-40B4-BE49-F238E27FC236}">
                  <a16:creationId xmlns:a16="http://schemas.microsoft.com/office/drawing/2014/main" id="{B5F72550-DD9C-4DFF-AB31-EBE8312D039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23821" y="58963"/>
              <a:ext cx="825500" cy="331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57150</xdr:rowOff>
    </xdr:from>
    <xdr:to>
      <xdr:col>12</xdr:col>
      <xdr:colOff>584200</xdr:colOff>
      <xdr:row>18</xdr:row>
      <xdr:rowOff>133350</xdr:rowOff>
    </xdr:to>
    <xdr:graphicFrame macro="">
      <xdr:nvGraphicFramePr>
        <xdr:cNvPr id="2" name="Chart 1">
          <a:extLst>
            <a:ext uri="{FF2B5EF4-FFF2-40B4-BE49-F238E27FC236}">
              <a16:creationId xmlns:a16="http://schemas.microsoft.com/office/drawing/2014/main" id="{B5C78B95-5682-46B8-BCB8-E72D23CDF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0.00227</cdr:x>
      <cdr:y>0.02083</cdr:y>
    </cdr:from>
    <cdr:to>
      <cdr:x>0.06917</cdr:x>
      <cdr:y>0.20052</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DE24B6-EC62-EC52-6293-EC0FF7ED2E5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050" y="50800"/>
          <a:ext cx="561573" cy="4381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69850</xdr:colOff>
      <xdr:row>0</xdr:row>
      <xdr:rowOff>44450</xdr:rowOff>
    </xdr:from>
    <xdr:to>
      <xdr:col>12</xdr:col>
      <xdr:colOff>558800</xdr:colOff>
      <xdr:row>18</xdr:row>
      <xdr:rowOff>158750</xdr:rowOff>
    </xdr:to>
    <xdr:graphicFrame macro="">
      <xdr:nvGraphicFramePr>
        <xdr:cNvPr id="2" name="Chart 1">
          <a:extLst>
            <a:ext uri="{FF2B5EF4-FFF2-40B4-BE49-F238E27FC236}">
              <a16:creationId xmlns:a16="http://schemas.microsoft.com/office/drawing/2014/main" id="{E784B95E-1DEF-4E1A-AAFD-2931C9EB8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0.0067</cdr:x>
      <cdr:y>0.01587</cdr:y>
    </cdr:from>
    <cdr:to>
      <cdr:x>0.08077</cdr:x>
      <cdr:y>0.15278</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640ED4C-491A-608C-480F-CAE219E589E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61605" cy="438156"/>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44450</xdr:colOff>
      <xdr:row>0</xdr:row>
      <xdr:rowOff>50800</xdr:rowOff>
    </xdr:from>
    <xdr:to>
      <xdr:col>12</xdr:col>
      <xdr:colOff>571500</xdr:colOff>
      <xdr:row>19</xdr:row>
      <xdr:rowOff>19050</xdr:rowOff>
    </xdr:to>
    <xdr:graphicFrame macro="">
      <xdr:nvGraphicFramePr>
        <xdr:cNvPr id="6" name="Chart 5">
          <a:extLst>
            <a:ext uri="{FF2B5EF4-FFF2-40B4-BE49-F238E27FC236}">
              <a16:creationId xmlns:a16="http://schemas.microsoft.com/office/drawing/2014/main" id="{FE213B89-14CE-4CE8-8F49-6B47388D2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0.0066</cdr:x>
      <cdr:y>0.01493</cdr:y>
    </cdr:from>
    <cdr:to>
      <cdr:x>0.06766</cdr:x>
      <cdr:y>0.12264</cdr:y>
    </cdr:to>
    <cdr:pic>
      <cdr:nvPicPr>
        <cdr:cNvPr id="3"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61E892A-EB78-79EA-0BD5-5333755A756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1" y="50800"/>
          <a:ext cx="469900" cy="366627"/>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399884257" createdVersion="5" refreshedVersion="8" minRefreshableVersion="3" recordCount="0" supportSubquery="1" supportAdvancedDrill="1" xr:uid="{A2C58AFB-C91F-4310-BFD7-FF5962554D8C}">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7">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0462965" createdVersion="5" refreshedVersion="8" minRefreshableVersion="3" recordCount="0" supportSubquery="1" supportAdvancedDrill="1" xr:uid="{088B9A04-CEBB-40C3-A233-0E25B1DB8E4A}">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0810188" createdVersion="5" refreshedVersion="8" minRefreshableVersion="3" recordCount="0" supportSubquery="1" supportAdvancedDrill="1" xr:uid="{FC907174-0DA0-4B4A-80CC-085DD09FBE6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127315" createdVersion="5" refreshedVersion="8" minRefreshableVersion="3" recordCount="0" supportSubquery="1" supportAdvancedDrill="1" xr:uid="{2C03416E-033B-4137-94AD-58083A435344}">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1967589" createdVersion="5" refreshedVersion="8" minRefreshableVersion="3" recordCount="0" supportSubquery="1" supportAdvancedDrill="1" xr:uid="{C56C6D22-6E8C-4D7D-B0C3-F5835DFC0FD2}">
  <cacheSource type="external" connectionId="3"/>
  <cacheFields count="4">
    <cacheField name="[Calendar_Table].[Date (Day)].[Date (Day)]" caption="Date (Day)" numFmtId="0" hierarchy="2" level="1">
      <sharedItems count="27">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2546297" createdVersion="5" refreshedVersion="8" minRefreshableVersion="3" recordCount="0" supportSubquery="1" supportAdvancedDrill="1" xr:uid="{B5444F06-F4E8-4638-8D83-21FED496B872}">
  <cacheSource type="external" connectionId="3"/>
  <cacheFields count="4">
    <cacheField name="[Calendar_Table].[Date (Day)].[Date (Day)]" caption="Date (Day)" numFmtId="0" hierarchy="2" level="1">
      <sharedItems count="27">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3240744" createdVersion="5" refreshedVersion="8" minRefreshableVersion="3" recordCount="0" supportSubquery="1" supportAdvancedDrill="1" xr:uid="{18ED6D15-576C-4128-AC5D-ACADF0DD69C1}">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3819444" createdVersion="5" refreshedVersion="8" minRefreshableVersion="3" recordCount="0" supportSubquery="1" supportAdvancedDrill="1" xr:uid="{5AEAB2F2-ABAD-4443-B8EB-17734EF7D4BE}">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4513891" createdVersion="5" refreshedVersion="8" minRefreshableVersion="3" recordCount="0" supportSubquery="1" supportAdvancedDrill="1" xr:uid="{876C1B1B-227C-4D8A-93D0-0D92266D92E9}">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5439815" createdVersion="5" refreshedVersion="8" minRefreshableVersion="3" recordCount="0" supportSubquery="1" supportAdvancedDrill="1" xr:uid="{900BB053-C78C-46CB-BDF4-FF3A0D9CBA1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6944446" createdVersion="5" refreshedVersion="8" minRefreshableVersion="3" recordCount="0" supportSubquery="1" supportAdvancedDrill="1" xr:uid="{2F3F8587-46B9-47E0-BA3D-AAACD984E35F}">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88.011408333332" createdVersion="5" refreshedVersion="8" minRefreshableVersion="3" recordCount="0" supportSubquery="1" supportAdvancedDrill="1" xr:uid="{66BBF9A3-F467-4441-B225-E339D13B9182}">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ZILLA" refreshedDate="46260.030297453704" createdVersion="3" refreshedVersion="8" minRefreshableVersion="3" recordCount="0" supportSubquery="1" supportAdvancedDrill="1" xr:uid="{36B99C24-18E5-4B38-A83F-04001323F6E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333241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879738-5542-4188-A0C5-9F3033E6DEE3}" name="PivotTable11" cacheId="10" applyNumberFormats="0" applyBorderFormats="0" applyFontFormats="0" applyPatternFormats="0" applyAlignmentFormats="0" applyWidthHeightFormats="1" dataCaption="Values" tag="11b83111-a612-4a59-b66b-e18c0c3e15b9" updatedVersion="8" minRefreshableVersion="3" subtotalHiddenItems="1" itemPrintTitles="1" createdVersion="5" indent="0" outline="1" outlineData="1" multipleFieldFilters="0" chartFormat="24">
  <location ref="A80:B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7"/>
    </i>
    <i>
      <x v="1"/>
    </i>
    <i>
      <x/>
    </i>
    <i>
      <x v="6"/>
    </i>
    <i>
      <x v="5"/>
    </i>
    <i>
      <x v="2"/>
    </i>
    <i>
      <x v="4"/>
    </i>
    <i t="grand">
      <x/>
    </i>
  </rowItems>
  <colItems count="1">
    <i/>
  </colItems>
  <dataFields count="1">
    <dataField name="Count of Department Referral" fld="2" subtotal="count" baseField="0" baseItem="0"/>
  </dataFields>
  <formats count="1">
    <format dxfId="0">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7BAB5D-9C42-4DFE-AB58-375DD83BDB48}" name="PivotTable12" cacheId="11" applyNumberFormats="0" applyBorderFormats="0" applyFontFormats="0" applyPatternFormats="0" applyAlignmentFormats="0" applyWidthHeightFormats="1" dataCaption="Values" tag="11b83111-a612-4a59-b66b-e18c0c3e15b9" updatedVersion="8" minRefreshableVersion="3" subtotalHiddenItems="1" itemPrintTitles="1" createdVersion="5" indent="0" outline="1" outlineData="1" multipleFieldFilters="0" chartFormat="24">
  <location ref="A93:A9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75475F-FFC1-4D3F-B7B6-74F6F9DFDB05}" name="PivotTable7" cacheId="5" applyNumberFormats="0" applyBorderFormats="0" applyFontFormats="0" applyPatternFormats="0" applyAlignmentFormats="0" applyWidthHeightFormats="1" dataCaption="Values" tag="c07af4b3-7c42-4fe6-80f2-61ca65edd4e8" updatedVersion="8" minRefreshableVersion="3" subtotalHiddenItems="1" itemPrintTitles="1" createdVersion="5" indent="0" outline="1" outlineData="1" multipleFieldFilters="0" chartFormat="24">
  <location ref="L5:M33"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2">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C8138F-9882-49BF-A5E8-9DB61BAF7ACE}" name="PivotTable3" cacheId="3" applyNumberFormats="0" applyBorderFormats="0" applyFontFormats="0" applyPatternFormats="0" applyAlignmentFormats="0" applyWidthHeightFormats="1" dataCaption="Values" tag="11b83111-a612-4a59-b66b-e18c0c3e15b9"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046450-CFF9-4D84-B9F6-683AB2B85D22}" name="PivotTable1" cacheId="1" applyNumberFormats="0" applyBorderFormats="0" applyFontFormats="0" applyPatternFormats="0" applyAlignmentFormats="0" applyWidthHeightFormats="1" dataCaption="Values" tag="c07af4b3-7c42-4fe6-80f2-61ca65edd4e8"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4DD3E7-B5A3-46EF-8E06-A401D3C47C1E}" name="PivotTable8" cacheId="6" applyNumberFormats="0" applyBorderFormats="0" applyFontFormats="0" applyPatternFormats="0" applyAlignmentFormats="0" applyWidthHeightFormats="1" dataCaption="Values" tag="11b83111-a612-4a59-b66b-e18c0c3e15b9" updatedVersion="8" minRefreshableVersion="3" subtotalHiddenItems="1" itemPrintTitles="1" createdVersion="5" indent="0" outline="1" outlineData="1" multipleFieldFilters="0" chartFormat="4">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9">
      <extLst>
        <ext xmlns:x14="http://schemas.microsoft.com/office/spreadsheetml/2009/9/main" uri="{E15A36E0-9728-4e99-A89B-3F7291B0FE68}">
          <x14:dataField sourceField="2" uniqueName="[__Xl2].[Measures].[Count of Patient Admission Flag]"/>
        </ext>
      </extLst>
    </dataField>
  </dataFields>
  <formats count="2">
    <format dxfId="5">
      <pivotArea outline="0" collapsedLevelsAreSubtotals="1" fieldPosition="0"/>
    </format>
    <format dxfId="4">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6FE22B-7E8A-4294-89AE-625562A221FB}" name="PivotTable4" cacheId="0" applyNumberFormats="0" applyBorderFormats="0" applyFontFormats="0" applyPatternFormats="0" applyAlignmentFormats="0" applyWidthHeightFormats="1" dataCaption="Values" tag="c07af4b3-7c42-4fe6-80f2-61ca65edd4e8" updatedVersion="8" minRefreshableVersion="3" subtotalHiddenItems="1" itemPrintTitles="1" createdVersion="5" indent="0" outline="1" outlineData="1" multipleFieldFilters="0" chartFormat="9">
  <location ref="D5:E33" firstHeaderRow="1" firstDataRow="1" firstDataCol="1"/>
  <pivotFields count="4">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5CF605-66FC-4E29-AE0C-CA65D19E9B02}" name="PivotTable10" cacheId="9" applyNumberFormats="0" applyBorderFormats="0" applyFontFormats="0" applyPatternFormats="0" applyAlignmentFormats="0" applyWidthHeightFormats="1" dataCaption="Values" tag="11b83111-a612-4a59-b66b-e18c0c3e15b9" updatedVersion="8" minRefreshableVersion="3" subtotalHiddenItems="1" itemPrintTitles="1" createdVersion="5" indent="0" outline="1" outlineData="1" multipleFieldFilters="0" chartFormat="21">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6">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78190D-F2F2-43D9-B931-21EE73FC6EDE}" name="PivotTable6" cacheId="7" applyNumberFormats="0" applyBorderFormats="0" applyFontFormats="0" applyPatternFormats="0" applyAlignmentFormats="0" applyWidthHeightFormats="1" dataCaption="Values" tag="11b83111-a612-4a59-b66b-e18c0c3e15b9" updatedVersion="8" minRefreshableVersion="3" subtotalHiddenItems="1" itemPrintTitles="1" createdVersion="5" indent="0" outline="1" outlineData="1" multipleFieldFilters="0" chartFormat="11">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7838BA-7FC2-464C-99B8-3FA4100B81F8}" name="PivotTable5" cacheId="4" applyNumberFormats="0" applyBorderFormats="0" applyFontFormats="0" applyPatternFormats="0" applyAlignmentFormats="0" applyWidthHeightFormats="1" dataCaption="Values" tag="c07af4b3-7c42-4fe6-80f2-61ca65edd4e8" updatedVersion="8" minRefreshableVersion="3" subtotalHiddenItems="1" itemPrintTitles="1" createdVersion="5" indent="0" outline="1" outlineData="1" multipleFieldFilters="0" chartFormat="18">
  <location ref="H5:I33"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Waittime" fld="2" subtotal="average" baseField="0" baseItem="0" numFmtId="164"/>
  </dataFields>
  <formats count="1">
    <format dxfId="8">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3A68D3-B92C-475C-AC25-44437A514A30}" name="PivotTable2" cacheId="2" applyNumberFormats="0" applyBorderFormats="0" applyFontFormats="0" applyPatternFormats="0" applyAlignmentFormats="0" applyWidthHeightFormats="1" dataCaption="Values" tag="6eb90e44-f00c-4b39-9154-a97aae3afa4f"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E0FC59-BB86-48DA-AEC5-42256213D355}" name="PivotTable9" cacheId="8" applyNumberFormats="0" applyBorderFormats="0" applyFontFormats="0" applyPatternFormats="0" applyAlignmentFormats="0" applyWidthHeightFormats="1" dataCaption="Values" tag="11b83111-a612-4a59-b66b-e18c0c3e15b9" updatedVersion="8" minRefreshableVersion="3" subtotalHiddenItems="1" itemPrintTitles="1" createdVersion="5" indent="0" outline="1" outlineData="1" multipleFieldFilters="0" chartFormat="17">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0">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A3DB810-E1C3-4505-B432-8BA34E43B4A0}" sourceName="[Calendar_Table].[Date (Month)]">
  <pivotTables>
    <pivotTable tabId="1" name="PivotTable4"/>
    <pivotTable tabId="1" name="PivotTable1"/>
    <pivotTable tabId="1" name="PivotTable2"/>
    <pivotTable tabId="1" name="PivotTable3"/>
    <pivotTable tabId="1" name="PivotTable5"/>
    <pivotTable tabId="1" name="PivotTable7"/>
    <pivotTable tabId="1" name="PivotTable8"/>
    <pivotTable tabId="1" name="PivotTable6"/>
    <pivotTable tabId="1" name="PivotTable9"/>
    <pivotTable tabId="1" name="PivotTable10"/>
    <pivotTable tabId="1" name="PivotTable11"/>
    <pivotTable tabId="1" name="PivotTable12"/>
  </pivotTables>
  <data>
    <olap pivotCacheId="53332413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532D7F2-D9BB-4514-9721-6B1E28A5A37F}"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3332413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031A79E-CCA3-44AE-8EAA-2ABBB6FBD3A1}" cache="Slicer_Date__Month" caption="Date (Month)" showCaption="0" level="1" style="My Style" rowHeight="137160"/>
  <slicer name="Date (Year)" xr10:uid="{56CB61D7-3FAB-4C13-AE23-5CD29F3E4700}" cache="Slicer_Date__Year" caption="Date (Year)" columnCount="2" showCaption="0" level="1" style="My Style 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AFB2-F9B9-4DA5-966E-8C5A30387F97}">
  <dimension ref="A4:M95"/>
  <sheetViews>
    <sheetView topLeftCell="A76" workbookViewId="0">
      <selection activeCell="A94" sqref="A94"/>
    </sheetView>
  </sheetViews>
  <sheetFormatPr defaultRowHeight="14.5" x14ac:dyDescent="0.35"/>
  <cols>
    <col min="1" max="1" width="14.7265625" customWidth="1"/>
    <col min="2" max="2" width="27.81640625" bestFit="1" customWidth="1"/>
    <col min="3" max="3" width="28.81640625" bestFit="1" customWidth="1"/>
    <col min="4" max="4" width="25.81640625" bestFit="1" customWidth="1"/>
    <col min="5" max="5" width="23.81640625" bestFit="1" customWidth="1"/>
    <col min="8" max="8" width="12.36328125" bestFit="1" customWidth="1"/>
    <col min="9" max="9" width="23.81640625" bestFit="1" customWidth="1"/>
    <col min="12" max="12" width="12.36328125" bestFit="1" customWidth="1"/>
    <col min="13" max="13" width="31.90625" bestFit="1" customWidth="1"/>
  </cols>
  <sheetData>
    <row r="4" spans="1:13" x14ac:dyDescent="0.35">
      <c r="A4" t="s">
        <v>1</v>
      </c>
      <c r="D4" t="s">
        <v>7</v>
      </c>
      <c r="H4" t="s">
        <v>8</v>
      </c>
      <c r="L4" t="s">
        <v>10</v>
      </c>
    </row>
    <row r="5" spans="1:13" x14ac:dyDescent="0.35">
      <c r="A5" t="s">
        <v>0</v>
      </c>
      <c r="D5" s="3" t="s">
        <v>4</v>
      </c>
      <c r="E5" t="s">
        <v>0</v>
      </c>
      <c r="H5" s="3" t="s">
        <v>4</v>
      </c>
      <c r="I5" t="s">
        <v>2</v>
      </c>
      <c r="L5" s="3" t="s">
        <v>4</v>
      </c>
      <c r="M5" t="s">
        <v>3</v>
      </c>
    </row>
    <row r="6" spans="1:13" x14ac:dyDescent="0.35">
      <c r="A6">
        <v>439</v>
      </c>
      <c r="D6" s="4" t="s">
        <v>50</v>
      </c>
      <c r="E6">
        <v>12</v>
      </c>
      <c r="H6" s="4" t="s">
        <v>50</v>
      </c>
      <c r="I6" s="6">
        <v>36.416666666666664</v>
      </c>
      <c r="L6" s="4" t="s">
        <v>50</v>
      </c>
      <c r="M6" s="6">
        <v>5.25</v>
      </c>
    </row>
    <row r="7" spans="1:13" x14ac:dyDescent="0.35">
      <c r="D7" s="4" t="s">
        <v>51</v>
      </c>
      <c r="E7">
        <v>20</v>
      </c>
      <c r="H7" s="4" t="s">
        <v>51</v>
      </c>
      <c r="I7" s="6">
        <v>35.549999999999997</v>
      </c>
      <c r="L7" s="4" t="s">
        <v>51</v>
      </c>
      <c r="M7" s="6">
        <v>5</v>
      </c>
    </row>
    <row r="8" spans="1:13" x14ac:dyDescent="0.35">
      <c r="D8" s="4" t="s">
        <v>52</v>
      </c>
      <c r="E8">
        <v>19</v>
      </c>
      <c r="H8" s="4" t="s">
        <v>52</v>
      </c>
      <c r="I8" s="6">
        <v>37.368421052631582</v>
      </c>
      <c r="L8" s="4" t="s">
        <v>52</v>
      </c>
      <c r="M8" s="6">
        <v>5.7142857142857144</v>
      </c>
    </row>
    <row r="9" spans="1:13" x14ac:dyDescent="0.35">
      <c r="A9" t="s">
        <v>2</v>
      </c>
      <c r="D9" s="4" t="s">
        <v>53</v>
      </c>
      <c r="E9">
        <v>16</v>
      </c>
      <c r="H9" s="4" t="s">
        <v>53</v>
      </c>
      <c r="I9" s="6">
        <v>30.9375</v>
      </c>
      <c r="L9" s="4" t="s">
        <v>53</v>
      </c>
      <c r="M9" s="6">
        <v>7</v>
      </c>
    </row>
    <row r="10" spans="1:13" x14ac:dyDescent="0.35">
      <c r="A10" s="1">
        <v>34.744874715261957</v>
      </c>
      <c r="D10" s="4" t="s">
        <v>54</v>
      </c>
      <c r="E10">
        <v>12</v>
      </c>
      <c r="H10" s="4" t="s">
        <v>54</v>
      </c>
      <c r="I10" s="6">
        <v>28.25</v>
      </c>
      <c r="L10" s="4" t="s">
        <v>54</v>
      </c>
      <c r="M10" s="6">
        <v>6.666666666666667</v>
      </c>
    </row>
    <row r="11" spans="1:13" x14ac:dyDescent="0.35">
      <c r="D11" s="4" t="s">
        <v>55</v>
      </c>
      <c r="E11">
        <v>15</v>
      </c>
      <c r="H11" s="4" t="s">
        <v>55</v>
      </c>
      <c r="I11" s="6">
        <v>43.466666666666669</v>
      </c>
      <c r="L11" s="4" t="s">
        <v>55</v>
      </c>
      <c r="M11" s="6">
        <v>1.5</v>
      </c>
    </row>
    <row r="12" spans="1:13" x14ac:dyDescent="0.35">
      <c r="D12" s="4" t="s">
        <v>56</v>
      </c>
      <c r="E12">
        <v>19</v>
      </c>
      <c r="H12" s="4" t="s">
        <v>56</v>
      </c>
      <c r="I12" s="6">
        <v>36.05263157894737</v>
      </c>
      <c r="L12" s="4" t="s">
        <v>56</v>
      </c>
      <c r="M12" s="6">
        <v>5</v>
      </c>
    </row>
    <row r="13" spans="1:13" x14ac:dyDescent="0.35">
      <c r="A13" t="s">
        <v>3</v>
      </c>
      <c r="D13" s="4" t="s">
        <v>57</v>
      </c>
      <c r="E13">
        <v>17</v>
      </c>
      <c r="H13" s="4" t="s">
        <v>57</v>
      </c>
      <c r="I13" s="6">
        <v>39.764705882352942</v>
      </c>
      <c r="L13" s="4" t="s">
        <v>57</v>
      </c>
      <c r="M13" s="6">
        <v>4.5999999999999996</v>
      </c>
    </row>
    <row r="14" spans="1:13" x14ac:dyDescent="0.35">
      <c r="A14" s="1">
        <v>5.0948275862068968</v>
      </c>
      <c r="D14" s="4" t="s">
        <v>58</v>
      </c>
      <c r="E14">
        <v>7</v>
      </c>
      <c r="H14" s="4" t="s">
        <v>58</v>
      </c>
      <c r="I14" s="6">
        <v>33.857142857142854</v>
      </c>
      <c r="L14" s="4" t="s">
        <v>58</v>
      </c>
      <c r="M14" s="6">
        <v>6.5</v>
      </c>
    </row>
    <row r="15" spans="1:13" x14ac:dyDescent="0.35">
      <c r="D15" s="4" t="s">
        <v>59</v>
      </c>
      <c r="E15">
        <v>12</v>
      </c>
      <c r="H15" s="4" t="s">
        <v>59</v>
      </c>
      <c r="I15" s="6">
        <v>32</v>
      </c>
      <c r="L15" s="4" t="s">
        <v>59</v>
      </c>
      <c r="M15" s="6">
        <v>5</v>
      </c>
    </row>
    <row r="16" spans="1:13" x14ac:dyDescent="0.35">
      <c r="D16" s="4" t="s">
        <v>60</v>
      </c>
      <c r="E16">
        <v>13</v>
      </c>
      <c r="H16" s="4" t="s">
        <v>60</v>
      </c>
      <c r="I16" s="6">
        <v>37.615384615384613</v>
      </c>
      <c r="L16" s="4" t="s">
        <v>60</v>
      </c>
      <c r="M16" s="6">
        <v>6.5</v>
      </c>
    </row>
    <row r="17" spans="4:13" x14ac:dyDescent="0.35">
      <c r="D17" s="4" t="s">
        <v>61</v>
      </c>
      <c r="E17">
        <v>26</v>
      </c>
      <c r="H17" s="4" t="s">
        <v>61</v>
      </c>
      <c r="I17" s="6">
        <v>37.384615384615387</v>
      </c>
      <c r="L17" s="4" t="s">
        <v>61</v>
      </c>
      <c r="M17" s="6">
        <v>4.1111111111111107</v>
      </c>
    </row>
    <row r="18" spans="4:13" x14ac:dyDescent="0.35">
      <c r="D18" s="4" t="s">
        <v>62</v>
      </c>
      <c r="E18">
        <v>22</v>
      </c>
      <c r="H18" s="4" t="s">
        <v>62</v>
      </c>
      <c r="I18" s="6">
        <v>33.954545454545453</v>
      </c>
      <c r="L18" s="4" t="s">
        <v>62</v>
      </c>
      <c r="M18" s="6">
        <v>6.6</v>
      </c>
    </row>
    <row r="19" spans="4:13" x14ac:dyDescent="0.35">
      <c r="D19" s="4" t="s">
        <v>63</v>
      </c>
      <c r="E19">
        <v>16</v>
      </c>
      <c r="H19" s="4" t="s">
        <v>63</v>
      </c>
      <c r="I19" s="6">
        <v>32.5</v>
      </c>
      <c r="L19" s="4" t="s">
        <v>63</v>
      </c>
      <c r="M19" s="6">
        <v>5.2</v>
      </c>
    </row>
    <row r="20" spans="4:13" x14ac:dyDescent="0.35">
      <c r="D20" s="4" t="s">
        <v>64</v>
      </c>
      <c r="E20">
        <v>12</v>
      </c>
      <c r="H20" s="4" t="s">
        <v>64</v>
      </c>
      <c r="I20" s="6">
        <v>37.25</v>
      </c>
      <c r="L20" s="4" t="s">
        <v>64</v>
      </c>
      <c r="M20" s="6">
        <v>5.5</v>
      </c>
    </row>
    <row r="21" spans="4:13" x14ac:dyDescent="0.35">
      <c r="D21" s="4" t="s">
        <v>65</v>
      </c>
      <c r="E21">
        <v>21</v>
      </c>
      <c r="H21" s="4" t="s">
        <v>65</v>
      </c>
      <c r="I21" s="6">
        <v>34.047619047619051</v>
      </c>
      <c r="L21" s="4" t="s">
        <v>65</v>
      </c>
      <c r="M21" s="6">
        <v>3.3333333333333335</v>
      </c>
    </row>
    <row r="22" spans="4:13" x14ac:dyDescent="0.35">
      <c r="D22" s="4" t="s">
        <v>66</v>
      </c>
      <c r="E22">
        <v>12</v>
      </c>
      <c r="H22" s="4" t="s">
        <v>66</v>
      </c>
      <c r="I22" s="6">
        <v>34.583333333333336</v>
      </c>
      <c r="L22" s="4" t="s">
        <v>66</v>
      </c>
      <c r="M22" s="6">
        <v>5</v>
      </c>
    </row>
    <row r="23" spans="4:13" x14ac:dyDescent="0.35">
      <c r="D23" s="4" t="s">
        <v>67</v>
      </c>
      <c r="E23">
        <v>15</v>
      </c>
      <c r="H23" s="4" t="s">
        <v>67</v>
      </c>
      <c r="I23" s="6">
        <v>31</v>
      </c>
      <c r="L23" s="4" t="s">
        <v>67</v>
      </c>
      <c r="M23" s="6">
        <v>6.5</v>
      </c>
    </row>
    <row r="24" spans="4:13" x14ac:dyDescent="0.35">
      <c r="D24" s="4" t="s">
        <v>68</v>
      </c>
      <c r="E24">
        <v>23</v>
      </c>
      <c r="H24" s="4" t="s">
        <v>68</v>
      </c>
      <c r="I24" s="6">
        <v>33.347826086956523</v>
      </c>
      <c r="L24" s="4" t="s">
        <v>68</v>
      </c>
      <c r="M24" s="6">
        <v>3</v>
      </c>
    </row>
    <row r="25" spans="4:13" x14ac:dyDescent="0.35">
      <c r="D25" s="4" t="s">
        <v>69</v>
      </c>
      <c r="E25">
        <v>15</v>
      </c>
      <c r="H25" s="4" t="s">
        <v>69</v>
      </c>
      <c r="I25" s="6">
        <v>33.799999999999997</v>
      </c>
      <c r="L25" s="4" t="s">
        <v>69</v>
      </c>
      <c r="M25" s="6">
        <v>5.333333333333333</v>
      </c>
    </row>
    <row r="26" spans="4:13" x14ac:dyDescent="0.35">
      <c r="D26" s="4" t="s">
        <v>70</v>
      </c>
      <c r="E26">
        <v>15</v>
      </c>
      <c r="H26" s="4" t="s">
        <v>70</v>
      </c>
      <c r="I26" s="6">
        <v>32.466666666666669</v>
      </c>
      <c r="L26" s="4" t="s">
        <v>70</v>
      </c>
      <c r="M26" s="6">
        <v>7.333333333333333</v>
      </c>
    </row>
    <row r="27" spans="4:13" x14ac:dyDescent="0.35">
      <c r="D27" s="4" t="s">
        <v>71</v>
      </c>
      <c r="E27">
        <v>14</v>
      </c>
      <c r="H27" s="4" t="s">
        <v>71</v>
      </c>
      <c r="I27" s="6">
        <v>36.642857142857146</v>
      </c>
      <c r="L27" s="4" t="s">
        <v>71</v>
      </c>
      <c r="M27" s="6">
        <v>5.6</v>
      </c>
    </row>
    <row r="28" spans="4:13" x14ac:dyDescent="0.35">
      <c r="D28" s="4" t="s">
        <v>72</v>
      </c>
      <c r="E28">
        <v>19</v>
      </c>
      <c r="H28" s="4" t="s">
        <v>72</v>
      </c>
      <c r="I28" s="6">
        <v>32.631578947368418</v>
      </c>
      <c r="L28" s="4" t="s">
        <v>72</v>
      </c>
      <c r="M28" s="6">
        <v>4.4000000000000004</v>
      </c>
    </row>
    <row r="29" spans="4:13" x14ac:dyDescent="0.35">
      <c r="D29" s="4" t="s">
        <v>73</v>
      </c>
      <c r="E29">
        <v>17</v>
      </c>
      <c r="H29" s="4" t="s">
        <v>73</v>
      </c>
      <c r="I29" s="6">
        <v>32.176470588235297</v>
      </c>
      <c r="L29" s="4" t="s">
        <v>73</v>
      </c>
      <c r="M29" s="6">
        <v>4</v>
      </c>
    </row>
    <row r="30" spans="4:13" x14ac:dyDescent="0.35">
      <c r="D30" s="4" t="s">
        <v>74</v>
      </c>
      <c r="E30">
        <v>16</v>
      </c>
      <c r="H30" s="4" t="s">
        <v>74</v>
      </c>
      <c r="I30" s="6">
        <v>33.5</v>
      </c>
      <c r="L30" s="4" t="s">
        <v>74</v>
      </c>
      <c r="M30" s="6">
        <v>3</v>
      </c>
    </row>
    <row r="31" spans="4:13" x14ac:dyDescent="0.35">
      <c r="D31" s="4" t="s">
        <v>75</v>
      </c>
      <c r="E31">
        <v>15</v>
      </c>
      <c r="H31" s="4" t="s">
        <v>75</v>
      </c>
      <c r="I31" s="6">
        <v>33.200000000000003</v>
      </c>
      <c r="L31" s="4" t="s">
        <v>75</v>
      </c>
      <c r="M31" s="6">
        <v>5.666666666666667</v>
      </c>
    </row>
    <row r="32" spans="4:13" x14ac:dyDescent="0.35">
      <c r="D32" s="4" t="s">
        <v>76</v>
      </c>
      <c r="E32">
        <v>19</v>
      </c>
      <c r="H32" s="4" t="s">
        <v>76</v>
      </c>
      <c r="I32" s="6">
        <v>35.89473684210526</v>
      </c>
      <c r="L32" s="4" t="s">
        <v>76</v>
      </c>
      <c r="M32" s="6">
        <v>5.8571428571428568</v>
      </c>
    </row>
    <row r="33" spans="1:13" x14ac:dyDescent="0.35">
      <c r="D33" s="4" t="s">
        <v>5</v>
      </c>
      <c r="E33">
        <v>439</v>
      </c>
      <c r="H33" s="4" t="s">
        <v>5</v>
      </c>
      <c r="I33" s="6">
        <v>34.744874715261957</v>
      </c>
      <c r="L33" s="4" t="s">
        <v>5</v>
      </c>
      <c r="M33" s="6">
        <v>5.0948275862068968</v>
      </c>
    </row>
    <row r="40" spans="1:13" x14ac:dyDescent="0.35">
      <c r="A40" t="s">
        <v>19</v>
      </c>
    </row>
    <row r="41" spans="1:13" x14ac:dyDescent="0.35">
      <c r="A41" s="3" t="s">
        <v>4</v>
      </c>
      <c r="B41" t="s">
        <v>14</v>
      </c>
      <c r="C41" t="s">
        <v>15</v>
      </c>
    </row>
    <row r="42" spans="1:13" x14ac:dyDescent="0.35">
      <c r="A42" s="4" t="s">
        <v>12</v>
      </c>
      <c r="B42" s="7">
        <v>234</v>
      </c>
      <c r="C42" s="8">
        <v>0.53302961275626426</v>
      </c>
    </row>
    <row r="43" spans="1:13" x14ac:dyDescent="0.35">
      <c r="A43" s="4" t="s">
        <v>13</v>
      </c>
      <c r="B43" s="7">
        <v>205</v>
      </c>
      <c r="C43" s="8">
        <v>0.46697038724373574</v>
      </c>
    </row>
    <row r="44" spans="1:13" x14ac:dyDescent="0.35">
      <c r="A44" s="4" t="s">
        <v>5</v>
      </c>
      <c r="B44" s="7">
        <v>439</v>
      </c>
      <c r="C44" s="8">
        <v>1</v>
      </c>
    </row>
    <row r="48" spans="1:13" x14ac:dyDescent="0.35">
      <c r="A48" s="12" t="s">
        <v>16</v>
      </c>
      <c r="B48" s="12" t="s">
        <v>17</v>
      </c>
      <c r="C48" s="12" t="s">
        <v>18</v>
      </c>
      <c r="D48" s="11"/>
    </row>
    <row r="49" spans="1:4" x14ac:dyDescent="0.35">
      <c r="A49" s="13" t="str">
        <f>A43</f>
        <v>Not Admitted</v>
      </c>
      <c r="B49" s="13">
        <f>B43</f>
        <v>205</v>
      </c>
      <c r="C49" s="14">
        <f>C43</f>
        <v>0.46697038724373574</v>
      </c>
      <c r="D49" s="10"/>
    </row>
    <row r="50" spans="1:4" x14ac:dyDescent="0.35">
      <c r="A50" s="13" t="str">
        <f>A42</f>
        <v>Admitted</v>
      </c>
      <c r="B50" s="13">
        <f>B42</f>
        <v>234</v>
      </c>
      <c r="C50" s="14">
        <f>C42</f>
        <v>0.53302961275626426</v>
      </c>
      <c r="D50" s="10"/>
    </row>
    <row r="51" spans="1:4" x14ac:dyDescent="0.35">
      <c r="C51" s="9"/>
    </row>
    <row r="54" spans="1:4" x14ac:dyDescent="0.35">
      <c r="A54" t="s">
        <v>20</v>
      </c>
    </row>
    <row r="55" spans="1:4" x14ac:dyDescent="0.35">
      <c r="A55" s="3" t="s">
        <v>4</v>
      </c>
      <c r="B55" t="s">
        <v>29</v>
      </c>
    </row>
    <row r="56" spans="1:4" x14ac:dyDescent="0.35">
      <c r="A56" s="4" t="s">
        <v>21</v>
      </c>
      <c r="B56" s="7">
        <v>63</v>
      </c>
    </row>
    <row r="57" spans="1:4" x14ac:dyDescent="0.35">
      <c r="A57" s="4" t="s">
        <v>22</v>
      </c>
      <c r="B57" s="7">
        <v>52</v>
      </c>
    </row>
    <row r="58" spans="1:4" x14ac:dyDescent="0.35">
      <c r="A58" s="4" t="s">
        <v>23</v>
      </c>
      <c r="B58" s="7">
        <v>54</v>
      </c>
    </row>
    <row r="59" spans="1:4" x14ac:dyDescent="0.35">
      <c r="A59" s="4" t="s">
        <v>24</v>
      </c>
      <c r="B59" s="7">
        <v>50</v>
      </c>
    </row>
    <row r="60" spans="1:4" x14ac:dyDescent="0.35">
      <c r="A60" s="4" t="s">
        <v>25</v>
      </c>
      <c r="B60" s="7">
        <v>54</v>
      </c>
    </row>
    <row r="61" spans="1:4" x14ac:dyDescent="0.35">
      <c r="A61" s="4" t="s">
        <v>26</v>
      </c>
      <c r="B61" s="7">
        <v>57</v>
      </c>
    </row>
    <row r="62" spans="1:4" x14ac:dyDescent="0.35">
      <c r="A62" s="4" t="s">
        <v>27</v>
      </c>
      <c r="B62" s="7">
        <v>57</v>
      </c>
    </row>
    <row r="63" spans="1:4" x14ac:dyDescent="0.35">
      <c r="A63" s="4" t="s">
        <v>28</v>
      </c>
      <c r="B63" s="7">
        <v>52</v>
      </c>
    </row>
    <row r="64" spans="1:4" x14ac:dyDescent="0.35">
      <c r="A64" s="4" t="s">
        <v>5</v>
      </c>
      <c r="B64" s="7">
        <v>439</v>
      </c>
    </row>
    <row r="66" spans="1:2" x14ac:dyDescent="0.35">
      <c r="A66" s="4" t="s">
        <v>33</v>
      </c>
    </row>
    <row r="67" spans="1:2" x14ac:dyDescent="0.35">
      <c r="A67" s="3" t="s">
        <v>4</v>
      </c>
      <c r="B67" t="s">
        <v>32</v>
      </c>
    </row>
    <row r="68" spans="1:2" x14ac:dyDescent="0.35">
      <c r="A68" s="4" t="s">
        <v>30</v>
      </c>
      <c r="B68" s="7">
        <v>248</v>
      </c>
    </row>
    <row r="69" spans="1:2" x14ac:dyDescent="0.35">
      <c r="A69" s="4" t="s">
        <v>31</v>
      </c>
      <c r="B69" s="7">
        <v>191</v>
      </c>
    </row>
    <row r="70" spans="1:2" x14ac:dyDescent="0.35">
      <c r="A70" s="4" t="s">
        <v>5</v>
      </c>
      <c r="B70" s="7">
        <v>439</v>
      </c>
    </row>
    <row r="73" spans="1:2" x14ac:dyDescent="0.35">
      <c r="A73" s="4" t="s">
        <v>37</v>
      </c>
    </row>
    <row r="74" spans="1:2" x14ac:dyDescent="0.35">
      <c r="A74" s="3" t="s">
        <v>4</v>
      </c>
      <c r="B74" t="s">
        <v>36</v>
      </c>
    </row>
    <row r="75" spans="1:2" x14ac:dyDescent="0.35">
      <c r="A75" s="4" t="s">
        <v>34</v>
      </c>
      <c r="B75" s="7">
        <v>217</v>
      </c>
    </row>
    <row r="76" spans="1:2" x14ac:dyDescent="0.35">
      <c r="A76" s="4" t="s">
        <v>35</v>
      </c>
      <c r="B76" s="7">
        <v>222</v>
      </c>
    </row>
    <row r="77" spans="1:2" x14ac:dyDescent="0.35">
      <c r="A77" s="4" t="s">
        <v>5</v>
      </c>
      <c r="B77" s="7">
        <v>439</v>
      </c>
    </row>
    <row r="79" spans="1:2" x14ac:dyDescent="0.35">
      <c r="A79" s="4" t="s">
        <v>46</v>
      </c>
    </row>
    <row r="80" spans="1:2" x14ac:dyDescent="0.35">
      <c r="A80" s="3" t="s">
        <v>4</v>
      </c>
      <c r="B80" t="s">
        <v>45</v>
      </c>
    </row>
    <row r="81" spans="1:2" x14ac:dyDescent="0.35">
      <c r="A81" s="4" t="s">
        <v>41</v>
      </c>
      <c r="B81" s="7">
        <v>3</v>
      </c>
    </row>
    <row r="82" spans="1:2" x14ac:dyDescent="0.35">
      <c r="A82" s="4" t="s">
        <v>49</v>
      </c>
      <c r="B82" s="7">
        <v>4</v>
      </c>
    </row>
    <row r="83" spans="1:2" x14ac:dyDescent="0.35">
      <c r="A83" s="4" t="s">
        <v>39</v>
      </c>
      <c r="B83" s="7">
        <v>11</v>
      </c>
    </row>
    <row r="84" spans="1:2" x14ac:dyDescent="0.35">
      <c r="A84" s="4" t="s">
        <v>38</v>
      </c>
      <c r="B84" s="7">
        <v>14</v>
      </c>
    </row>
    <row r="85" spans="1:2" x14ac:dyDescent="0.35">
      <c r="A85" s="4" t="s">
        <v>44</v>
      </c>
      <c r="B85" s="7">
        <v>17</v>
      </c>
    </row>
    <row r="86" spans="1:2" x14ac:dyDescent="0.35">
      <c r="A86" s="4" t="s">
        <v>43</v>
      </c>
      <c r="B86" s="7">
        <v>53</v>
      </c>
    </row>
    <row r="87" spans="1:2" x14ac:dyDescent="0.35">
      <c r="A87" s="4" t="s">
        <v>40</v>
      </c>
      <c r="B87" s="7">
        <v>99</v>
      </c>
    </row>
    <row r="88" spans="1:2" x14ac:dyDescent="0.35">
      <c r="A88" s="4" t="s">
        <v>42</v>
      </c>
      <c r="B88" s="7">
        <v>238</v>
      </c>
    </row>
    <row r="89" spans="1:2" x14ac:dyDescent="0.35">
      <c r="A89" s="4" t="s">
        <v>5</v>
      </c>
      <c r="B89" s="7">
        <v>439</v>
      </c>
    </row>
    <row r="92" spans="1:2" x14ac:dyDescent="0.35">
      <c r="A92" s="4" t="s">
        <v>48</v>
      </c>
    </row>
    <row r="93" spans="1:2" x14ac:dyDescent="0.35">
      <c r="A93" s="3" t="s">
        <v>4</v>
      </c>
    </row>
    <row r="94" spans="1:2" x14ac:dyDescent="0.35">
      <c r="A94" s="4" t="s">
        <v>47</v>
      </c>
    </row>
    <row r="95" spans="1:2" x14ac:dyDescent="0.35">
      <c r="A95"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77ED-9EE1-4CEB-8689-2ACE69F7ADC1}">
  <dimension ref="A1:M18"/>
  <sheetViews>
    <sheetView tabSelected="1" zoomScale="140" zoomScaleNormal="140" workbookViewId="0">
      <selection activeCell="N11" sqref="N11"/>
    </sheetView>
  </sheetViews>
  <sheetFormatPr defaultRowHeight="14.5" x14ac:dyDescent="0.35"/>
  <sheetData>
    <row r="1" spans="1:13" x14ac:dyDescent="0.35">
      <c r="A1" s="2"/>
      <c r="B1" s="2"/>
      <c r="C1" s="2"/>
      <c r="D1" s="2"/>
      <c r="E1" s="2"/>
      <c r="F1" s="2"/>
      <c r="G1" s="2"/>
      <c r="H1" s="2"/>
      <c r="I1" s="2"/>
      <c r="J1" s="2"/>
      <c r="K1" s="2"/>
      <c r="L1" s="2"/>
      <c r="M1" s="2"/>
    </row>
    <row r="2" spans="1:13" x14ac:dyDescent="0.35">
      <c r="A2" s="2"/>
      <c r="B2" s="2"/>
      <c r="C2" s="2"/>
      <c r="D2" s="2"/>
      <c r="E2" s="2"/>
      <c r="F2" s="2"/>
      <c r="G2" s="2"/>
      <c r="H2" s="2"/>
      <c r="I2" s="2"/>
      <c r="J2" s="2"/>
      <c r="K2" s="2"/>
      <c r="L2" s="2"/>
      <c r="M2" s="2"/>
    </row>
    <row r="3" spans="1:13" x14ac:dyDescent="0.35">
      <c r="A3" s="2"/>
      <c r="B3" s="2"/>
      <c r="C3" s="2"/>
      <c r="D3" s="2"/>
      <c r="E3" s="2"/>
      <c r="F3" s="2"/>
      <c r="G3" s="2"/>
      <c r="H3" s="2"/>
      <c r="I3" s="2"/>
      <c r="J3" s="2"/>
      <c r="K3" s="2"/>
      <c r="L3" s="2"/>
      <c r="M3" s="2"/>
    </row>
    <row r="4" spans="1:13" x14ac:dyDescent="0.35">
      <c r="A4" s="2"/>
      <c r="B4" s="2"/>
      <c r="C4" s="2"/>
      <c r="D4" s="2"/>
      <c r="E4" s="2"/>
      <c r="F4" s="2"/>
      <c r="G4" s="2"/>
      <c r="H4" s="2"/>
      <c r="I4" s="2"/>
      <c r="J4" s="2"/>
      <c r="K4" s="2"/>
      <c r="L4" s="2"/>
      <c r="M4" s="2"/>
    </row>
    <row r="5" spans="1:13" x14ac:dyDescent="0.35">
      <c r="A5" s="2"/>
      <c r="B5" s="2"/>
      <c r="C5" s="2"/>
      <c r="D5" s="2"/>
      <c r="E5" s="2"/>
      <c r="F5" s="2"/>
      <c r="G5" s="2"/>
      <c r="H5" s="2"/>
      <c r="I5" s="2"/>
      <c r="J5" s="2"/>
      <c r="K5" s="2"/>
      <c r="L5" s="2"/>
      <c r="M5" s="2"/>
    </row>
    <row r="6" spans="1:13" x14ac:dyDescent="0.35">
      <c r="A6" s="2"/>
      <c r="B6" s="2"/>
      <c r="C6" s="2"/>
      <c r="D6" s="2"/>
      <c r="E6" s="2"/>
      <c r="F6" s="2"/>
      <c r="G6" s="2"/>
      <c r="H6" s="2"/>
      <c r="I6" s="2"/>
      <c r="J6" s="2"/>
      <c r="K6" s="2"/>
      <c r="L6" s="2"/>
      <c r="M6" s="2"/>
    </row>
    <row r="7" spans="1:13" x14ac:dyDescent="0.35">
      <c r="A7" s="2"/>
      <c r="B7" s="2"/>
      <c r="C7" s="2"/>
      <c r="D7" s="2"/>
      <c r="E7" s="2"/>
      <c r="F7" s="2"/>
      <c r="G7" s="2"/>
      <c r="H7" s="2"/>
      <c r="I7" s="2"/>
      <c r="J7" s="2"/>
      <c r="K7" s="2"/>
      <c r="L7" s="2"/>
      <c r="M7" s="2"/>
    </row>
    <row r="8" spans="1:13" x14ac:dyDescent="0.35">
      <c r="A8" s="2"/>
      <c r="B8" s="2"/>
      <c r="C8" s="2"/>
      <c r="D8" s="2"/>
      <c r="E8" s="2"/>
      <c r="F8" s="2"/>
      <c r="G8" s="2"/>
      <c r="H8" s="2"/>
      <c r="I8" s="2"/>
      <c r="J8" s="2"/>
      <c r="K8" s="2"/>
      <c r="L8" s="2"/>
      <c r="M8" s="2"/>
    </row>
    <row r="9" spans="1:13" x14ac:dyDescent="0.35">
      <c r="A9" s="2"/>
      <c r="B9" s="2"/>
      <c r="C9" s="2"/>
      <c r="D9" s="2"/>
      <c r="E9" s="2"/>
      <c r="F9" s="2"/>
      <c r="G9" s="2"/>
      <c r="H9" s="2"/>
      <c r="I9" s="2"/>
      <c r="J9" s="2"/>
      <c r="K9" s="2"/>
      <c r="L9" s="2"/>
      <c r="M9" s="2"/>
    </row>
    <row r="10" spans="1:13" x14ac:dyDescent="0.35">
      <c r="A10" s="2"/>
      <c r="B10" s="2"/>
      <c r="C10" s="2"/>
      <c r="D10" s="2"/>
      <c r="E10" s="2"/>
      <c r="F10" s="2"/>
      <c r="G10" s="2"/>
      <c r="H10" s="2"/>
      <c r="I10" s="2"/>
      <c r="J10" s="2"/>
      <c r="K10" s="2"/>
      <c r="L10" s="2"/>
      <c r="M10" s="2"/>
    </row>
    <row r="11" spans="1:13" x14ac:dyDescent="0.35">
      <c r="A11" s="2"/>
      <c r="B11" s="2"/>
      <c r="C11" s="2"/>
      <c r="D11" s="2"/>
      <c r="E11" s="2"/>
      <c r="F11" s="2"/>
      <c r="G11" s="2"/>
      <c r="H11" s="2"/>
      <c r="I11" s="2"/>
      <c r="J11" s="2"/>
      <c r="K11" s="2"/>
      <c r="L11" s="2"/>
      <c r="M11" s="2"/>
    </row>
    <row r="12" spans="1:13" x14ac:dyDescent="0.35">
      <c r="A12" s="2"/>
      <c r="B12" s="2"/>
      <c r="C12" s="2"/>
      <c r="D12" s="2"/>
      <c r="E12" s="2"/>
      <c r="F12" s="2"/>
      <c r="G12" s="2"/>
      <c r="H12" s="2"/>
      <c r="I12" s="2"/>
      <c r="J12" s="2"/>
      <c r="K12" s="2"/>
      <c r="L12" s="2"/>
      <c r="M12" s="2"/>
    </row>
    <row r="13" spans="1:13" x14ac:dyDescent="0.35">
      <c r="A13" s="2"/>
      <c r="B13" s="2"/>
      <c r="C13" s="2"/>
      <c r="D13" s="2"/>
      <c r="E13" s="2"/>
      <c r="F13" s="2"/>
      <c r="G13" s="2"/>
      <c r="H13" s="2"/>
      <c r="I13" s="2"/>
      <c r="J13" s="2"/>
      <c r="K13" s="2"/>
      <c r="L13" s="2"/>
      <c r="M13" s="2"/>
    </row>
    <row r="14" spans="1:13" x14ac:dyDescent="0.35">
      <c r="A14" s="2"/>
      <c r="B14" s="2"/>
      <c r="C14" s="2"/>
      <c r="D14" s="2"/>
      <c r="E14" s="2"/>
      <c r="F14" s="2"/>
      <c r="G14" s="2"/>
      <c r="H14" s="2"/>
      <c r="I14" s="2"/>
      <c r="J14" s="2"/>
      <c r="K14" s="2"/>
      <c r="L14" s="2"/>
      <c r="M14" s="2"/>
    </row>
    <row r="15" spans="1:13" x14ac:dyDescent="0.35">
      <c r="A15" s="2"/>
      <c r="B15" s="2"/>
      <c r="C15" s="2"/>
      <c r="D15" s="2"/>
      <c r="E15" s="2"/>
      <c r="F15" s="2"/>
      <c r="G15" s="2"/>
      <c r="H15" s="2"/>
      <c r="I15" s="2"/>
      <c r="J15" s="2"/>
      <c r="K15" s="2"/>
      <c r="L15" s="2"/>
      <c r="M15" s="2"/>
    </row>
    <row r="16" spans="1:13" x14ac:dyDescent="0.35">
      <c r="A16" s="2"/>
      <c r="B16" s="2"/>
      <c r="C16" s="2"/>
      <c r="D16" s="2"/>
      <c r="E16" s="2"/>
      <c r="F16" s="2"/>
      <c r="G16" s="2"/>
      <c r="H16" s="2"/>
      <c r="I16" s="2"/>
      <c r="J16" s="2"/>
      <c r="K16" s="2"/>
      <c r="L16" s="2"/>
      <c r="M16" s="2"/>
    </row>
    <row r="17" spans="1:13" x14ac:dyDescent="0.35">
      <c r="A17" s="2"/>
      <c r="B17" s="2"/>
      <c r="C17" s="2"/>
      <c r="D17" s="2"/>
      <c r="E17" s="2"/>
      <c r="F17" s="2"/>
      <c r="G17" s="2"/>
      <c r="H17" s="2"/>
      <c r="I17" s="2"/>
      <c r="J17" s="2"/>
      <c r="K17" s="2"/>
      <c r="L17" s="2"/>
      <c r="M17" s="2"/>
    </row>
    <row r="18" spans="1:13" x14ac:dyDescent="0.35">
      <c r="A18" s="2"/>
      <c r="B18" s="2"/>
      <c r="C18" s="2"/>
      <c r="D18" s="2"/>
      <c r="E18" s="2"/>
      <c r="F18" s="2"/>
      <c r="G18" s="2"/>
      <c r="H18" s="2"/>
      <c r="I18" s="2"/>
      <c r="J18" s="2"/>
      <c r="K18" s="2"/>
      <c r="L18" s="2"/>
      <c r="M18"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F3C7-843A-43F5-A6EF-32AC719F7BB9}">
  <dimension ref="A1:M20"/>
  <sheetViews>
    <sheetView topLeftCell="A5" workbookViewId="0">
      <selection activeCell="N16" sqref="N16"/>
    </sheetView>
  </sheetViews>
  <sheetFormatPr defaultRowHeight="14.5" x14ac:dyDescent="0.35"/>
  <sheetData>
    <row r="1" spans="1:13" x14ac:dyDescent="0.35">
      <c r="A1" s="5"/>
      <c r="B1" s="5"/>
      <c r="C1" s="5"/>
      <c r="D1" s="5"/>
      <c r="E1" s="5"/>
      <c r="F1" s="5"/>
      <c r="G1" s="5"/>
      <c r="H1" s="5"/>
      <c r="I1" s="5"/>
      <c r="J1" s="5"/>
      <c r="K1" s="5"/>
      <c r="L1" s="5"/>
      <c r="M1" s="5"/>
    </row>
    <row r="2" spans="1:13" x14ac:dyDescent="0.35">
      <c r="A2" s="5"/>
      <c r="B2" s="5"/>
      <c r="C2" s="5"/>
      <c r="D2" s="5"/>
      <c r="E2" s="5"/>
      <c r="F2" s="5"/>
      <c r="G2" s="5"/>
      <c r="H2" s="5"/>
      <c r="I2" s="5"/>
      <c r="J2" s="5"/>
      <c r="K2" s="5"/>
      <c r="L2" s="5"/>
      <c r="M2" s="5"/>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x14ac:dyDescent="0.35">
      <c r="A12" s="5"/>
      <c r="B12" s="5"/>
      <c r="C12" s="5"/>
      <c r="D12" s="5"/>
      <c r="E12" s="5"/>
      <c r="F12" s="5"/>
      <c r="G12" s="5"/>
      <c r="H12" s="5"/>
      <c r="I12" s="5"/>
      <c r="J12" s="5"/>
      <c r="K12" s="5"/>
      <c r="L12" s="5"/>
      <c r="M12" s="5"/>
    </row>
    <row r="13" spans="1:13" x14ac:dyDescent="0.35">
      <c r="A13" s="5"/>
      <c r="B13" s="5"/>
      <c r="C13" s="5"/>
      <c r="D13" s="5"/>
      <c r="E13" s="5"/>
      <c r="F13" s="5"/>
      <c r="G13" s="5"/>
      <c r="H13" s="5"/>
      <c r="I13" s="5"/>
      <c r="J13" s="5"/>
      <c r="K13" s="5"/>
      <c r="L13" s="5"/>
      <c r="M13" s="5"/>
    </row>
    <row r="14" spans="1:13" x14ac:dyDescent="0.35">
      <c r="A14" s="5"/>
      <c r="B14" s="5"/>
      <c r="C14" s="5"/>
      <c r="D14" s="5"/>
      <c r="E14" s="5"/>
      <c r="F14" s="5"/>
      <c r="G14" s="5"/>
      <c r="H14" s="5"/>
      <c r="I14" s="5"/>
      <c r="J14" s="5"/>
      <c r="K14" s="5"/>
      <c r="L14" s="5"/>
      <c r="M14" s="5"/>
    </row>
    <row r="15" spans="1:13" x14ac:dyDescent="0.35">
      <c r="A15" s="5"/>
      <c r="B15" s="5"/>
      <c r="C15" s="5"/>
      <c r="D15" s="5"/>
      <c r="E15" s="5"/>
      <c r="F15" s="5"/>
      <c r="G15" s="5"/>
      <c r="H15" s="5"/>
      <c r="I15" s="5"/>
      <c r="J15" s="5"/>
      <c r="K15" s="5"/>
      <c r="L15" s="5"/>
      <c r="M15" s="5"/>
    </row>
    <row r="16" spans="1:13" x14ac:dyDescent="0.35">
      <c r="A16" s="5"/>
      <c r="B16" s="5"/>
      <c r="C16" s="5"/>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16" t="s">
        <v>6</v>
      </c>
      <c r="C20" s="16"/>
      <c r="D20" s="16"/>
      <c r="E20" s="16"/>
      <c r="F20" s="16"/>
      <c r="G20" s="16"/>
      <c r="H20" s="16"/>
      <c r="I20" s="16"/>
      <c r="J20" s="16"/>
      <c r="K20" s="16"/>
      <c r="L20" s="16"/>
      <c r="M20" s="16"/>
    </row>
  </sheetData>
  <mergeCells count="1">
    <mergeCell ref="B20:M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0BBA4-DFE1-49B0-92A7-7916B539E2E8}">
  <dimension ref="A1:M20"/>
  <sheetViews>
    <sheetView topLeftCell="A7" workbookViewId="0">
      <selection activeCell="O20" sqref="O20"/>
    </sheetView>
  </sheetViews>
  <sheetFormatPr defaultRowHeight="14.5" x14ac:dyDescent="0.35"/>
  <sheetData>
    <row r="1" spans="1:13" x14ac:dyDescent="0.35">
      <c r="A1" s="2"/>
      <c r="B1" s="2"/>
      <c r="C1" s="2"/>
      <c r="D1" s="2"/>
      <c r="E1" s="2"/>
      <c r="F1" s="2"/>
      <c r="G1" s="2"/>
      <c r="H1" s="2"/>
      <c r="I1" s="2"/>
      <c r="J1" s="2"/>
      <c r="K1" s="2"/>
      <c r="L1" s="2"/>
      <c r="M1" s="2"/>
    </row>
    <row r="2" spans="1:13" x14ac:dyDescent="0.35">
      <c r="A2" s="2"/>
      <c r="B2" s="2"/>
      <c r="C2" s="2"/>
      <c r="D2" s="2"/>
      <c r="E2" s="2"/>
      <c r="F2" s="2"/>
      <c r="G2" s="2"/>
      <c r="H2" s="2"/>
      <c r="I2" s="2"/>
      <c r="J2" s="2"/>
      <c r="K2" s="2"/>
      <c r="L2" s="2"/>
      <c r="M2" s="2"/>
    </row>
    <row r="3" spans="1:13" x14ac:dyDescent="0.35">
      <c r="A3" s="2"/>
      <c r="B3" s="2"/>
      <c r="C3" s="2"/>
      <c r="D3" s="2"/>
      <c r="E3" s="2"/>
      <c r="F3" s="2"/>
      <c r="G3" s="2"/>
      <c r="H3" s="2"/>
      <c r="I3" s="2"/>
      <c r="J3" s="2"/>
      <c r="K3" s="2"/>
      <c r="L3" s="2"/>
      <c r="M3" s="2"/>
    </row>
    <row r="4" spans="1:13" x14ac:dyDescent="0.35">
      <c r="A4" s="2"/>
      <c r="B4" s="2"/>
      <c r="C4" s="2"/>
      <c r="D4" s="2"/>
      <c r="E4" s="2"/>
      <c r="F4" s="2"/>
      <c r="G4" s="2"/>
      <c r="H4" s="2"/>
      <c r="I4" s="2"/>
      <c r="J4" s="2"/>
      <c r="K4" s="2"/>
      <c r="L4" s="2"/>
      <c r="M4" s="2"/>
    </row>
    <row r="5" spans="1:13" x14ac:dyDescent="0.35">
      <c r="A5" s="2"/>
      <c r="B5" s="2"/>
      <c r="C5" s="2"/>
      <c r="D5" s="2"/>
      <c r="E5" s="2"/>
      <c r="F5" s="2"/>
      <c r="G5" s="2"/>
      <c r="H5" s="2"/>
      <c r="I5" s="2"/>
      <c r="J5" s="2"/>
      <c r="K5" s="2"/>
      <c r="L5" s="2"/>
      <c r="M5" s="2"/>
    </row>
    <row r="6" spans="1:13" x14ac:dyDescent="0.35">
      <c r="A6" s="2"/>
      <c r="B6" s="2"/>
      <c r="C6" s="2"/>
      <c r="D6" s="2"/>
      <c r="E6" s="2"/>
      <c r="F6" s="2"/>
      <c r="G6" s="2"/>
      <c r="H6" s="2"/>
      <c r="I6" s="2"/>
      <c r="J6" s="2"/>
      <c r="K6" s="2"/>
      <c r="L6" s="2"/>
      <c r="M6" s="2"/>
    </row>
    <row r="7" spans="1:13" x14ac:dyDescent="0.35">
      <c r="A7" s="2"/>
      <c r="B7" s="2"/>
      <c r="C7" s="2"/>
      <c r="D7" s="2"/>
      <c r="E7" s="2"/>
      <c r="F7" s="2"/>
      <c r="G7" s="2"/>
      <c r="H7" s="2"/>
      <c r="I7" s="2"/>
      <c r="J7" s="2"/>
      <c r="K7" s="2"/>
      <c r="L7" s="2"/>
      <c r="M7" s="2"/>
    </row>
    <row r="8" spans="1:13" x14ac:dyDescent="0.35">
      <c r="A8" s="2"/>
      <c r="B8" s="2"/>
      <c r="C8" s="2"/>
      <c r="D8" s="2"/>
      <c r="E8" s="2"/>
      <c r="F8" s="2"/>
      <c r="G8" s="2"/>
      <c r="H8" s="2"/>
      <c r="I8" s="2"/>
      <c r="J8" s="2"/>
      <c r="K8" s="2"/>
      <c r="L8" s="2"/>
      <c r="M8" s="2"/>
    </row>
    <row r="9" spans="1:13" x14ac:dyDescent="0.35">
      <c r="A9" s="2"/>
      <c r="B9" s="2"/>
      <c r="C9" s="2"/>
      <c r="D9" s="2"/>
      <c r="E9" s="2"/>
      <c r="F9" s="2"/>
      <c r="G9" s="2"/>
      <c r="H9" s="2"/>
      <c r="I9" s="2"/>
      <c r="J9" s="2"/>
      <c r="K9" s="2"/>
      <c r="L9" s="2"/>
      <c r="M9" s="2"/>
    </row>
    <row r="10" spans="1:13" x14ac:dyDescent="0.35">
      <c r="A10" s="2"/>
      <c r="B10" s="2"/>
      <c r="C10" s="2"/>
      <c r="D10" s="2"/>
      <c r="E10" s="2"/>
      <c r="F10" s="2"/>
      <c r="G10" s="2"/>
      <c r="H10" s="2"/>
      <c r="I10" s="2"/>
      <c r="J10" s="2"/>
      <c r="K10" s="2"/>
      <c r="L10" s="2"/>
      <c r="M10" s="2"/>
    </row>
    <row r="11" spans="1:13" x14ac:dyDescent="0.35">
      <c r="A11" s="2"/>
      <c r="B11" s="2"/>
      <c r="C11" s="2"/>
      <c r="D11" s="2"/>
      <c r="E11" s="2"/>
      <c r="F11" s="2"/>
      <c r="G11" s="2"/>
      <c r="H11" s="2"/>
      <c r="I11" s="2"/>
      <c r="J11" s="2"/>
      <c r="K11" s="2"/>
      <c r="L11" s="2"/>
      <c r="M11" s="2"/>
    </row>
    <row r="12" spans="1:13" x14ac:dyDescent="0.35">
      <c r="A12" s="2"/>
      <c r="B12" s="2"/>
      <c r="C12" s="2"/>
      <c r="D12" s="2"/>
      <c r="E12" s="2"/>
      <c r="F12" s="2"/>
      <c r="G12" s="2"/>
      <c r="H12" s="2"/>
      <c r="I12" s="2"/>
      <c r="J12" s="2"/>
      <c r="K12" s="2"/>
      <c r="L12" s="2"/>
      <c r="M12" s="2"/>
    </row>
    <row r="13" spans="1:13" x14ac:dyDescent="0.35">
      <c r="A13" s="2"/>
      <c r="B13" s="2"/>
      <c r="C13" s="2"/>
      <c r="D13" s="2"/>
      <c r="E13" s="2"/>
      <c r="F13" s="2"/>
      <c r="G13" s="2"/>
      <c r="H13" s="2"/>
      <c r="I13" s="2"/>
      <c r="J13" s="2"/>
      <c r="K13" s="2"/>
      <c r="L13" s="2"/>
      <c r="M13" s="2"/>
    </row>
    <row r="14" spans="1:13" x14ac:dyDescent="0.35">
      <c r="A14" s="2"/>
      <c r="B14" s="2"/>
      <c r="C14" s="2"/>
      <c r="D14" s="2"/>
      <c r="E14" s="2"/>
      <c r="F14" s="2"/>
      <c r="G14" s="2"/>
      <c r="H14" s="2"/>
      <c r="I14" s="2"/>
      <c r="J14" s="2"/>
      <c r="K14" s="2"/>
      <c r="L14" s="2"/>
      <c r="M14" s="2"/>
    </row>
    <row r="15" spans="1:13" x14ac:dyDescent="0.35">
      <c r="A15" s="2"/>
      <c r="B15" s="2"/>
      <c r="C15" s="2"/>
      <c r="D15" s="2"/>
      <c r="E15" s="2"/>
      <c r="F15" s="2"/>
      <c r="G15" s="2"/>
      <c r="H15" s="2"/>
      <c r="I15" s="2"/>
      <c r="J15" s="2"/>
      <c r="K15" s="2"/>
      <c r="L15" s="2"/>
      <c r="M15" s="2"/>
    </row>
    <row r="16" spans="1:13" x14ac:dyDescent="0.35">
      <c r="A16" s="2"/>
      <c r="B16" s="2"/>
      <c r="C16" s="2"/>
      <c r="D16" s="2"/>
      <c r="E16" s="2"/>
      <c r="F16" s="2"/>
      <c r="G16" s="2"/>
      <c r="H16" s="2"/>
      <c r="I16" s="2"/>
      <c r="J16" s="2"/>
      <c r="K16" s="2"/>
      <c r="L16" s="2"/>
      <c r="M16" s="2"/>
    </row>
    <row r="17" spans="1:13" x14ac:dyDescent="0.35">
      <c r="A17" s="2"/>
      <c r="B17" s="2"/>
      <c r="C17" s="2"/>
      <c r="D17" s="2"/>
      <c r="E17" s="2"/>
      <c r="F17" s="2"/>
      <c r="G17" s="2"/>
      <c r="H17" s="2"/>
      <c r="I17" s="2"/>
      <c r="J17" s="2"/>
      <c r="K17" s="2"/>
      <c r="L17" s="2"/>
      <c r="M17" s="2"/>
    </row>
    <row r="18" spans="1:13" x14ac:dyDescent="0.35">
      <c r="A18" s="2"/>
      <c r="B18" s="2"/>
      <c r="C18" s="2"/>
      <c r="D18" s="2"/>
      <c r="E18" s="2"/>
      <c r="F18" s="2"/>
      <c r="G18" s="2"/>
      <c r="H18" s="2"/>
      <c r="I18" s="2"/>
      <c r="J18" s="2"/>
      <c r="K18" s="2"/>
      <c r="L18" s="2"/>
      <c r="M18" s="2"/>
    </row>
    <row r="19" spans="1:13" x14ac:dyDescent="0.35">
      <c r="A19" s="2"/>
      <c r="B19" s="2"/>
      <c r="C19" s="2"/>
      <c r="D19" s="2"/>
      <c r="E19" s="2"/>
      <c r="F19" s="2"/>
      <c r="G19" s="2"/>
      <c r="H19" s="2"/>
      <c r="I19" s="2"/>
      <c r="J19" s="2"/>
      <c r="K19" s="2"/>
      <c r="L19" s="2"/>
      <c r="M19" s="2"/>
    </row>
    <row r="20" spans="1:13" ht="15.5" x14ac:dyDescent="0.35">
      <c r="A20" s="2"/>
      <c r="B20" s="15" t="s">
        <v>9</v>
      </c>
      <c r="C20" s="15"/>
      <c r="D20" s="15"/>
      <c r="E20" s="15"/>
      <c r="F20" s="15"/>
      <c r="G20" s="15"/>
      <c r="H20" s="15"/>
      <c r="I20" s="15"/>
      <c r="J20" s="15"/>
      <c r="K20" s="15"/>
      <c r="L20" s="15"/>
      <c r="M20" s="15"/>
    </row>
  </sheetData>
  <mergeCells count="1">
    <mergeCell ref="B20:M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2F30-977F-4934-A0FB-6CB8B3CD8D7E}">
  <dimension ref="A1:M20"/>
  <sheetViews>
    <sheetView topLeftCell="A6" workbookViewId="0">
      <selection activeCell="R11" sqref="R11"/>
    </sheetView>
  </sheetViews>
  <sheetFormatPr defaultRowHeight="14.5" x14ac:dyDescent="0.35"/>
  <sheetData>
    <row r="1" spans="1:13" x14ac:dyDescent="0.35">
      <c r="A1" s="2"/>
      <c r="B1" s="2"/>
      <c r="C1" s="2"/>
      <c r="D1" s="2"/>
      <c r="E1" s="2"/>
      <c r="F1" s="2"/>
      <c r="G1" s="2"/>
      <c r="H1" s="2"/>
      <c r="I1" s="2"/>
      <c r="J1" s="2"/>
      <c r="K1" s="2"/>
      <c r="L1" s="2"/>
      <c r="M1" s="2"/>
    </row>
    <row r="2" spans="1:13" x14ac:dyDescent="0.35">
      <c r="A2" s="2"/>
      <c r="B2" s="2"/>
      <c r="C2" s="2"/>
      <c r="D2" s="2"/>
      <c r="E2" s="2"/>
      <c r="F2" s="2"/>
      <c r="G2" s="2"/>
      <c r="H2" s="2"/>
      <c r="I2" s="2"/>
      <c r="J2" s="2"/>
      <c r="K2" s="2"/>
      <c r="L2" s="2"/>
      <c r="M2" s="2"/>
    </row>
    <row r="3" spans="1:13" x14ac:dyDescent="0.35">
      <c r="A3" s="2"/>
      <c r="B3" s="2"/>
      <c r="C3" s="2"/>
      <c r="D3" s="2"/>
      <c r="E3" s="2"/>
      <c r="F3" s="2"/>
      <c r="G3" s="2"/>
      <c r="H3" s="2"/>
      <c r="I3" s="2"/>
      <c r="J3" s="2"/>
      <c r="K3" s="2"/>
      <c r="L3" s="2"/>
      <c r="M3" s="2"/>
    </row>
    <row r="4" spans="1:13" x14ac:dyDescent="0.35">
      <c r="A4" s="2"/>
      <c r="B4" s="2"/>
      <c r="C4" s="2"/>
      <c r="D4" s="2"/>
      <c r="E4" s="2"/>
      <c r="F4" s="2"/>
      <c r="G4" s="2"/>
      <c r="H4" s="2"/>
      <c r="I4" s="2"/>
      <c r="J4" s="2"/>
      <c r="K4" s="2"/>
      <c r="L4" s="2"/>
      <c r="M4" s="2"/>
    </row>
    <row r="5" spans="1:13" x14ac:dyDescent="0.35">
      <c r="A5" s="2"/>
      <c r="B5" s="2"/>
      <c r="C5" s="2"/>
      <c r="D5" s="2"/>
      <c r="E5" s="2"/>
      <c r="F5" s="2"/>
      <c r="G5" s="2"/>
      <c r="H5" s="2"/>
      <c r="I5" s="2"/>
      <c r="J5" s="2"/>
      <c r="K5" s="2"/>
      <c r="L5" s="2"/>
      <c r="M5" s="2"/>
    </row>
    <row r="6" spans="1:13" x14ac:dyDescent="0.35">
      <c r="A6" s="2"/>
      <c r="B6" s="2"/>
      <c r="C6" s="2"/>
      <c r="D6" s="2"/>
      <c r="E6" s="2"/>
      <c r="F6" s="2"/>
      <c r="G6" s="2"/>
      <c r="H6" s="2"/>
      <c r="I6" s="2"/>
      <c r="J6" s="2"/>
      <c r="K6" s="2"/>
      <c r="L6" s="2"/>
      <c r="M6" s="2"/>
    </row>
    <row r="7" spans="1:13" x14ac:dyDescent="0.35">
      <c r="A7" s="2"/>
      <c r="B7" s="2"/>
      <c r="C7" s="2"/>
      <c r="D7" s="2"/>
      <c r="E7" s="2"/>
      <c r="F7" s="2"/>
      <c r="G7" s="2"/>
      <c r="H7" s="2"/>
      <c r="I7" s="2"/>
      <c r="J7" s="2"/>
      <c r="K7" s="2"/>
      <c r="L7" s="2"/>
      <c r="M7" s="2"/>
    </row>
    <row r="8" spans="1:13" x14ac:dyDescent="0.35">
      <c r="A8" s="2"/>
      <c r="B8" s="2"/>
      <c r="C8" s="2"/>
      <c r="D8" s="2"/>
      <c r="E8" s="2"/>
      <c r="F8" s="2"/>
      <c r="G8" s="2"/>
      <c r="H8" s="2"/>
      <c r="I8" s="2"/>
      <c r="J8" s="2"/>
      <c r="K8" s="2"/>
      <c r="L8" s="2"/>
      <c r="M8" s="2"/>
    </row>
    <row r="9" spans="1:13" x14ac:dyDescent="0.35">
      <c r="A9" s="2"/>
      <c r="B9" s="2"/>
      <c r="C9" s="2"/>
      <c r="D9" s="2"/>
      <c r="E9" s="2"/>
      <c r="F9" s="2"/>
      <c r="G9" s="2"/>
      <c r="H9" s="2"/>
      <c r="I9" s="2"/>
      <c r="J9" s="2"/>
      <c r="K9" s="2"/>
      <c r="L9" s="2"/>
      <c r="M9" s="2"/>
    </row>
    <row r="10" spans="1:13" x14ac:dyDescent="0.35">
      <c r="A10" s="2"/>
      <c r="B10" s="2"/>
      <c r="C10" s="2"/>
      <c r="D10" s="2"/>
      <c r="E10" s="2"/>
      <c r="F10" s="2"/>
      <c r="G10" s="2"/>
      <c r="H10" s="2"/>
      <c r="I10" s="2"/>
      <c r="J10" s="2"/>
      <c r="K10" s="2"/>
      <c r="L10" s="2"/>
      <c r="M10" s="2"/>
    </row>
    <row r="11" spans="1:13" x14ac:dyDescent="0.35">
      <c r="A11" s="2"/>
      <c r="B11" s="2"/>
      <c r="C11" s="2"/>
      <c r="D11" s="2"/>
      <c r="E11" s="2"/>
      <c r="F11" s="2"/>
      <c r="G11" s="2"/>
      <c r="H11" s="2"/>
      <c r="I11" s="2"/>
      <c r="J11" s="2"/>
      <c r="K11" s="2"/>
      <c r="L11" s="2"/>
      <c r="M11" s="2"/>
    </row>
    <row r="12" spans="1:13" x14ac:dyDescent="0.35">
      <c r="A12" s="2"/>
      <c r="B12" s="2"/>
      <c r="C12" s="2"/>
      <c r="D12" s="2"/>
      <c r="E12" s="2"/>
      <c r="F12" s="2"/>
      <c r="G12" s="2"/>
      <c r="H12" s="2"/>
      <c r="I12" s="2"/>
      <c r="J12" s="2"/>
      <c r="K12" s="2"/>
      <c r="L12" s="2"/>
      <c r="M12" s="2"/>
    </row>
    <row r="13" spans="1:13" x14ac:dyDescent="0.35">
      <c r="A13" s="2"/>
      <c r="B13" s="2"/>
      <c r="C13" s="2"/>
      <c r="D13" s="2"/>
      <c r="E13" s="2"/>
      <c r="F13" s="2"/>
      <c r="G13" s="2"/>
      <c r="H13" s="2"/>
      <c r="I13" s="2"/>
      <c r="J13" s="2"/>
      <c r="K13" s="2"/>
      <c r="L13" s="2"/>
      <c r="M13" s="2"/>
    </row>
    <row r="14" spans="1:13" x14ac:dyDescent="0.35">
      <c r="A14" s="2"/>
      <c r="B14" s="2"/>
      <c r="C14" s="2"/>
      <c r="D14" s="2"/>
      <c r="E14" s="2"/>
      <c r="F14" s="2"/>
      <c r="G14" s="2"/>
      <c r="H14" s="2"/>
      <c r="I14" s="2"/>
      <c r="J14" s="2"/>
      <c r="K14" s="2"/>
      <c r="L14" s="2"/>
      <c r="M14" s="2"/>
    </row>
    <row r="15" spans="1:13" x14ac:dyDescent="0.35">
      <c r="A15" s="2"/>
      <c r="B15" s="2"/>
      <c r="C15" s="2"/>
      <c r="D15" s="2"/>
      <c r="E15" s="2"/>
      <c r="F15" s="2"/>
      <c r="G15" s="2"/>
      <c r="H15" s="2"/>
      <c r="I15" s="2"/>
      <c r="J15" s="2"/>
      <c r="K15" s="2"/>
      <c r="L15" s="2"/>
      <c r="M15" s="2"/>
    </row>
    <row r="16" spans="1:13" x14ac:dyDescent="0.35">
      <c r="A16" s="2"/>
      <c r="B16" s="2"/>
      <c r="C16" s="2"/>
      <c r="D16" s="2"/>
      <c r="E16" s="2"/>
      <c r="F16" s="2"/>
      <c r="G16" s="2"/>
      <c r="H16" s="2"/>
      <c r="I16" s="2"/>
      <c r="J16" s="2"/>
      <c r="K16" s="2"/>
      <c r="L16" s="2"/>
      <c r="M16" s="2"/>
    </row>
    <row r="17" spans="1:13" x14ac:dyDescent="0.35">
      <c r="A17" s="2"/>
      <c r="B17" s="2"/>
      <c r="C17" s="2"/>
      <c r="D17" s="2"/>
      <c r="E17" s="2"/>
      <c r="F17" s="2"/>
      <c r="G17" s="2"/>
      <c r="H17" s="2"/>
      <c r="I17" s="2"/>
      <c r="J17" s="2"/>
      <c r="K17" s="2"/>
      <c r="L17" s="2"/>
      <c r="M17" s="2"/>
    </row>
    <row r="18" spans="1:13" x14ac:dyDescent="0.35">
      <c r="A18" s="2"/>
      <c r="B18" s="2"/>
      <c r="C18" s="2"/>
      <c r="D18" s="2"/>
      <c r="E18" s="2"/>
      <c r="F18" s="2"/>
      <c r="G18" s="2"/>
      <c r="H18" s="2"/>
      <c r="I18" s="2"/>
      <c r="J18" s="2"/>
      <c r="K18" s="2"/>
      <c r="L18" s="2"/>
      <c r="M18" s="2"/>
    </row>
    <row r="19" spans="1:13" x14ac:dyDescent="0.35">
      <c r="A19" s="2"/>
      <c r="B19" s="2"/>
      <c r="C19" s="2"/>
      <c r="D19" s="2"/>
      <c r="E19" s="2"/>
      <c r="F19" s="2"/>
      <c r="G19" s="2"/>
      <c r="H19" s="2"/>
      <c r="I19" s="2"/>
      <c r="J19" s="2"/>
      <c r="K19" s="2"/>
      <c r="L19" s="2"/>
      <c r="M19" s="2"/>
    </row>
    <row r="20" spans="1:13" ht="15.5" x14ac:dyDescent="0.35">
      <c r="A20" s="2"/>
      <c r="B20" s="15" t="s">
        <v>11</v>
      </c>
      <c r="C20" s="15"/>
      <c r="D20" s="15"/>
      <c r="E20" s="15"/>
      <c r="F20" s="15"/>
      <c r="G20" s="15"/>
      <c r="H20" s="15"/>
      <c r="I20" s="15"/>
      <c r="J20" s="15"/>
      <c r="K20" s="15"/>
      <c r="L20" s="15"/>
      <c r="M20" s="15"/>
    </row>
  </sheetData>
  <mergeCells count="1">
    <mergeCell ref="B20:M2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06DA936-3351-4D7F-A242-5951B790CD75}">
  <ds:schemaRefs/>
</ds:datastoreItem>
</file>

<file path=customXml/itemProps2.xml><?xml version="1.0" encoding="utf-8"?>
<ds:datastoreItem xmlns:ds="http://schemas.openxmlformats.org/officeDocument/2006/customXml" ds:itemID="{A1CDBA3F-C887-44FC-8A60-5E2084A12238}">
  <ds:schemaRefs/>
</ds:datastoreItem>
</file>

<file path=customXml/itemProps3.xml><?xml version="1.0" encoding="utf-8"?>
<ds:datastoreItem xmlns:ds="http://schemas.openxmlformats.org/officeDocument/2006/customXml" ds:itemID="{B111ECAD-A349-4B55-8219-EBA6B82DCC94}">
  <ds:schemaRefs/>
</ds:datastoreItem>
</file>

<file path=customXml/itemProps4.xml><?xml version="1.0" encoding="utf-8"?>
<ds:datastoreItem xmlns:ds="http://schemas.openxmlformats.org/officeDocument/2006/customXml" ds:itemID="{B2E5CD10-A2D4-420D-BD39-06B786448A2B}">
  <ds:schemaRefs>
    <ds:schemaRef ds:uri="http://schemas.microsoft.com/DataMashup"/>
  </ds:schemaRefs>
</ds:datastoreItem>
</file>

<file path=customXml/itemProps5.xml><?xml version="1.0" encoding="utf-8"?>
<ds:datastoreItem xmlns:ds="http://schemas.openxmlformats.org/officeDocument/2006/customXml" ds:itemID="{81A180DD-BF6D-44FE-BA0F-0E0848AC19D1}">
  <ds:schemaRefs/>
</ds:datastoreItem>
</file>

<file path=customXml/itemProps6.xml><?xml version="1.0" encoding="utf-8"?>
<ds:datastoreItem xmlns:ds="http://schemas.openxmlformats.org/officeDocument/2006/customXml" ds:itemID="{FDBC2070-3119-44E6-8060-D44F711C63B6}">
  <ds:schemaRefs/>
</ds:datastoreItem>
</file>

<file path=customXml/itemProps7.xml><?xml version="1.0" encoding="utf-8"?>
<ds:datastoreItem xmlns:ds="http://schemas.openxmlformats.org/officeDocument/2006/customXml" ds:itemID="{6B4D00EE-670C-46F2-B4F3-417E72048F2B}">
  <ds:schemaRefs/>
</ds:datastoreItem>
</file>

<file path=customXml/itemProps8.xml><?xml version="1.0" encoding="utf-8"?>
<ds:datastoreItem xmlns:ds="http://schemas.openxmlformats.org/officeDocument/2006/customXml" ds:itemID="{7807D2C2-14B1-41E2-B95E-D75CE221B7ED}">
  <ds:schemaRefs/>
</ds:datastoreItem>
</file>

<file path=customXml/itemProps9.xml><?xml version="1.0" encoding="utf-8"?>
<ds:datastoreItem xmlns:ds="http://schemas.openxmlformats.org/officeDocument/2006/customXml" ds:itemID="{88A3C1D2-3FA6-4500-9F95-3E2D139E3182}">
  <ds:schemaRefs/>
</ds:datastoreItem>
</file>

<file path=customXml/itemProps10.xml><?xml version="1.0" encoding="utf-8"?>
<ds:datastoreItem xmlns:ds="http://schemas.openxmlformats.org/officeDocument/2006/customXml" ds:itemID="{D3B643EF-DA68-4189-830B-56E799DDE787}">
  <ds:schemaRefs/>
</ds:datastoreItem>
</file>

<file path=customXml/itemProps11.xml><?xml version="1.0" encoding="utf-8"?>
<ds:datastoreItem xmlns:ds="http://schemas.openxmlformats.org/officeDocument/2006/customXml" ds:itemID="{E6A0E8FF-ED0D-4E11-AE79-040A3AEF3241}">
  <ds:schemaRefs/>
</ds:datastoreItem>
</file>

<file path=customXml/itemProps12.xml><?xml version="1.0" encoding="utf-8"?>
<ds:datastoreItem xmlns:ds="http://schemas.openxmlformats.org/officeDocument/2006/customXml" ds:itemID="{3DDA6032-D883-4232-BB7B-3DEA654A4837}">
  <ds:schemaRefs/>
</ds:datastoreItem>
</file>

<file path=customXml/itemProps13.xml><?xml version="1.0" encoding="utf-8"?>
<ds:datastoreItem xmlns:ds="http://schemas.openxmlformats.org/officeDocument/2006/customXml" ds:itemID="{EB48CB0D-DB13-4CAB-A414-007F23574C5E}">
  <ds:schemaRefs/>
</ds:datastoreItem>
</file>

<file path=customXml/itemProps14.xml><?xml version="1.0" encoding="utf-8"?>
<ds:datastoreItem xmlns:ds="http://schemas.openxmlformats.org/officeDocument/2006/customXml" ds:itemID="{3AA82B0A-F51F-4357-983B-1DC067D4BDE4}">
  <ds:schemaRefs/>
</ds:datastoreItem>
</file>

<file path=customXml/itemProps15.xml><?xml version="1.0" encoding="utf-8"?>
<ds:datastoreItem xmlns:ds="http://schemas.openxmlformats.org/officeDocument/2006/customXml" ds:itemID="{37F53FFB-E88C-48F7-A9E5-D4CB7F59E316}">
  <ds:schemaRefs/>
</ds:datastoreItem>
</file>

<file path=customXml/itemProps16.xml><?xml version="1.0" encoding="utf-8"?>
<ds:datastoreItem xmlns:ds="http://schemas.openxmlformats.org/officeDocument/2006/customXml" ds:itemID="{B6F2A8CE-56B7-4F63-BA3E-4258ACF72F5C}">
  <ds:schemaRefs/>
</ds:datastoreItem>
</file>

<file path=customXml/itemProps17.xml><?xml version="1.0" encoding="utf-8"?>
<ds:datastoreItem xmlns:ds="http://schemas.openxmlformats.org/officeDocument/2006/customXml" ds:itemID="{3528A58A-1E8D-4304-887B-A034171412BA}">
  <ds:schemaRefs/>
</ds:datastoreItem>
</file>

<file path=customXml/itemProps18.xml><?xml version="1.0" encoding="utf-8"?>
<ds:datastoreItem xmlns:ds="http://schemas.openxmlformats.org/officeDocument/2006/customXml" ds:itemID="{A7ECD4BF-3560-462F-BDF0-4C39D6175D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LAPZILLA</dc:creator>
  <cp:lastModifiedBy>LAPZILLA</cp:lastModifiedBy>
  <dcterms:created xsi:type="dcterms:W3CDTF">2026-08-20T19:27:31Z</dcterms:created>
  <dcterms:modified xsi:type="dcterms:W3CDTF">2026-09-23T18:49:18Z</dcterms:modified>
</cp:coreProperties>
</file>